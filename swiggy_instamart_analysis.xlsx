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roducts_Catalog" sheetId="2" state="visible" r:id="rId2"/>
    <sheet name="Orders_Enriched" sheetId="3" state="visible" r:id="rId3"/>
    <sheet name="Category_Performance" sheetId="4" state="visible" r:id="rId4"/>
    <sheet name="Time_and_Status_Analysis" sheetId="5" state="visible" r:id="rId5"/>
    <sheet name="Store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.00"/>
    <numFmt numFmtId="165" formatCode="0.0 &quot;mins&quot;"/>
    <numFmt numFmtId="166" formatCode="#,##0 &quot;SKUs&quot;"/>
    <numFmt numFmtId="167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7F8C8D"/>
      <sz val="9"/>
    </font>
    <font>
      <name val="Segoe UI"/>
      <b val="1"/>
      <color rgb="00FC8019"/>
      <sz val="18"/>
    </font>
    <font>
      <name val="Segoe UI"/>
      <b val="1"/>
      <color rgb="002B394A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394A"/>
        <bgColor rgb="002B394A"/>
      </patternFill>
    </fill>
    <fill>
      <patternFill patternType="solid">
        <fgColor rgb="00F8F9FA"/>
        <bgColor rgb="00F8F9FA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0" fontId="8" fillId="2" borderId="0" applyAlignment="1" pivotButton="0" quotePrefix="0" xfId="0">
      <alignment horizontal="center" vertical="center"/>
    </xf>
    <xf numFmtId="167" fontId="0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0" fillId="0" borderId="0" pivotButton="0" quotePrefix="0" xfId="0"/>
    <xf numFmtId="0" fontId="8" fillId="2" borderId="0" pivotButton="0" quotePrefix="0" xfId="0"/>
  </cellXfs>
  <cellStyles count="1">
    <cellStyle name="Normal" xfId="0" builtinId="0" hidden="0"/>
  </cellStyles>
  <dxfs count="3">
    <dxf>
      <font>
        <b val="1"/>
        <color rgb="00922B21"/>
      </font>
      <fill>
        <patternFill patternType="solid">
          <fgColor rgb="00FADBD8"/>
          <bgColor rgb="00FADBD8"/>
        </patternFill>
      </fill>
    </dxf>
    <dxf>
      <font>
        <b val="1"/>
        <color rgb="007D6608"/>
      </font>
      <fill>
        <patternFill patternType="solid">
          <fgColor rgb="00FCF3CF"/>
          <bgColor rgb="00FCF3CF"/>
        </patternFill>
      </fill>
    </dxf>
    <dxf>
      <font>
        <b val="1"/>
        <color rgb="001E8449"/>
      </font>
      <fill>
        <patternFill patternType="solid">
          <fgColor rgb="00D4EFDF"/>
          <bgColor rgb="00D4EF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24" customWidth="1" min="4" max="4"/>
    <col width="16" customWidth="1" min="5" max="5"/>
    <col width="24" customWidth="1" min="6" max="6"/>
    <col width="16" customWidth="1" min="7" max="7"/>
    <col width="24" customWidth="1" min="8" max="8"/>
    <col width="12" customWidth="1" min="9" max="9"/>
    <col width="12" customWidth="1" min="10" max="10"/>
  </cols>
  <sheetData>
    <row r="1">
      <c r="A1" s="1" t="n"/>
      <c r="B1" s="2" t="inlineStr">
        <is>
          <t>SWIGGY INSTAMART — SALES &amp; INVENTORY DASHBOARD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3" t="inlineStr">
        <is>
          <t>Exploratory Data Analysis &amp; Quick-Commerce Operational Metrics | Traditional vs. Modern Track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/>
    <row r="5">
      <c r="B5" s="4" t="inlineStr">
        <is>
          <t>TOTAL ORDERS</t>
        </is>
      </c>
      <c r="D5" s="4" t="inlineStr">
        <is>
          <t>GROSS GMV (INR)</t>
        </is>
      </c>
      <c r="F5" s="4" t="inlineStr">
        <is>
          <t>TOTAL DISCOUNTS</t>
        </is>
      </c>
      <c r="H5" s="4" t="inlineStr">
        <is>
          <t>NET REVENUE</t>
        </is>
      </c>
    </row>
    <row r="6">
      <c r="B6" s="5">
        <f>COUNTA(Orders_Enriched!A2:A844)</f>
        <v/>
      </c>
      <c r="D6" s="6">
        <f>SUM(Orders_Enriched!I2:I844)</f>
        <v/>
      </c>
      <c r="F6" s="6">
        <f>SUM(Orders_Enriched!J2:J844)</f>
        <v/>
      </c>
      <c r="H6" s="6">
        <f>F6-H6</f>
        <v/>
      </c>
    </row>
    <row r="7"/>
    <row r="8">
      <c r="B8" s="4" t="inlineStr">
        <is>
          <t>AVERAGE BASKET (AOV)</t>
        </is>
      </c>
      <c r="D8" s="4" t="inlineStr">
        <is>
          <t>TOTAL UNITS SOLD</t>
        </is>
      </c>
      <c r="F8" s="4" t="inlineStr">
        <is>
          <t>AVG DELIVERY TIME</t>
        </is>
      </c>
      <c r="H8" s="4" t="inlineStr">
        <is>
          <t>CRITICAL STOCK SKUS</t>
        </is>
      </c>
    </row>
    <row r="9">
      <c r="B9" s="6">
        <f>AVERAGE(Orders_Enriched!I2:I844)</f>
        <v/>
      </c>
      <c r="D9" s="5">
        <f>SUM(Orders_Enriched!H2:H844)</f>
        <v/>
      </c>
      <c r="F9" s="7">
        <f>AVERAGE(Orders_Enriched!K2:K844)</f>
        <v/>
      </c>
      <c r="H9" s="8">
        <f>COUNTIF(Products_Catalog!G2:G151, "CRITICAL")</f>
        <v/>
      </c>
    </row>
    <row r="10"/>
    <row r="11">
      <c r="B11" s="9" t="inlineStr">
        <is>
          <t>KEY TRADITIONAL vs MODERN ANALYSIS INSIGHTS</t>
        </is>
      </c>
    </row>
    <row r="12"/>
    <row r="13">
      <c r="B13" s="10" t="inlineStr">
        <is>
          <t>1. Missing Dark Stores Finding:</t>
        </is>
      </c>
      <c r="D13" s="11" t="inlineStr">
        <is>
          <t>Stores.csv records 25 stores, but transactions log up to Store050. Handled via IFERROR/Left-Join.</t>
        </is>
      </c>
    </row>
    <row r="14"/>
    <row r="15">
      <c r="B15" s="10" t="inlineStr">
        <is>
          <t>2. Real-Time Dynamic Formulas:</t>
        </is>
      </c>
      <c r="D15" s="11" t="inlineStr">
        <is>
          <t>All totals and margins are dynamically wired to Orders_Enriched and Products_Catalog sheets.</t>
        </is>
      </c>
    </row>
    <row r="16"/>
    <row r="17">
      <c r="B17" s="10" t="inlineStr">
        <is>
          <t>3. Inventory Safety Stocking:</t>
        </is>
      </c>
      <c r="D17" s="11" t="inlineStr">
        <is>
          <t>Products with &lt; 100 available units are dynamically flagged with Red Conditional Formatting.</t>
        </is>
      </c>
    </row>
    <row r="18"/>
    <row r="19">
      <c r="B19" s="10" t="inlineStr">
        <is>
          <t>4. Quick-Commerce SLA Tracking:</t>
        </is>
      </c>
      <c r="D19" s="11" t="inlineStr">
        <is>
          <t>Orders exceeding the 20-minute delivery benchmark are flagged to assess dark store efficiency.</t>
        </is>
      </c>
    </row>
  </sheetData>
  <mergeCells count="16">
    <mergeCell ref="D8:E8"/>
    <mergeCell ref="D6:E6"/>
    <mergeCell ref="B6:C6"/>
    <mergeCell ref="H6:I6"/>
    <mergeCell ref="B5:C5"/>
    <mergeCell ref="F5:G5"/>
    <mergeCell ref="D5:E5"/>
    <mergeCell ref="F6:G6"/>
    <mergeCell ref="H5:I5"/>
    <mergeCell ref="H8:I8"/>
    <mergeCell ref="B9:C9"/>
    <mergeCell ref="D9:E9"/>
    <mergeCell ref="B8:C8"/>
    <mergeCell ref="H9:I9"/>
    <mergeCell ref="F9:G9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12" customWidth="1" min="4" max="4"/>
    <col width="16" customWidth="1" min="5" max="5"/>
    <col width="13" customWidth="1" min="6" max="6"/>
    <col width="15" customWidth="1" min="7" max="7"/>
    <col width="12" customWidth="1" min="8" max="8"/>
    <col width="22" customWidth="1" min="9" max="9"/>
  </cols>
  <sheetData>
    <row r="1">
      <c r="A1" s="12" t="inlineStr">
        <is>
          <t>ProductID</t>
        </is>
      </c>
      <c r="B1" s="12" t="inlineStr">
        <is>
          <t>ProductName</t>
        </is>
      </c>
      <c r="C1" s="12" t="inlineStr">
        <is>
          <t>CategoryID</t>
        </is>
      </c>
      <c r="D1" s="12" t="inlineStr">
        <is>
          <t>UnitPrice</t>
        </is>
      </c>
      <c r="E1" s="12" t="inlineStr">
        <is>
          <t>StockQuantity</t>
        </is>
      </c>
      <c r="F1" s="12" t="inlineStr">
        <is>
          <t>SupplierID</t>
        </is>
      </c>
      <c r="G1" s="12" t="inlineStr">
        <is>
          <t>StockoutRisk</t>
        </is>
      </c>
      <c r="H1" s="12" t="inlineStr">
        <is>
          <t>UnitsSold</t>
        </is>
      </c>
      <c r="I1" s="12" t="inlineStr">
        <is>
          <t>GrossProductRevenue</t>
        </is>
      </c>
    </row>
    <row r="2">
      <c r="A2" t="inlineStr">
        <is>
          <t>PROD001</t>
        </is>
      </c>
      <c r="B2" t="inlineStr">
        <is>
          <t>Amul Taaza Toned Milk 500ml</t>
        </is>
      </c>
      <c r="C2" t="inlineStr">
        <is>
          <t>CAT003</t>
        </is>
      </c>
      <c r="D2" s="13" t="n">
        <v>27</v>
      </c>
      <c r="E2" s="14" t="n">
        <v>500</v>
      </c>
      <c r="F2" t="inlineStr">
        <is>
          <t>SUP004</t>
        </is>
      </c>
      <c r="G2" s="15">
        <f>IF(E2&lt;100, "CRITICAL", IF(E2&lt;300, "LOW", "OPTIMAL"))</f>
        <v/>
      </c>
      <c r="H2" s="14">
        <f>SUMIFS(Orders_Enriched!H:H, Orders_Enriched!C:C, A2)</f>
        <v/>
      </c>
      <c r="I2" s="13">
        <f>D2*H2</f>
        <v/>
      </c>
    </row>
    <row r="3">
      <c r="A3" t="inlineStr">
        <is>
          <t>PROD002</t>
        </is>
      </c>
      <c r="B3" t="inlineStr">
        <is>
          <t>Britannia Milk Bread</t>
        </is>
      </c>
      <c r="C3" t="inlineStr">
        <is>
          <t>CAT005</t>
        </is>
      </c>
      <c r="D3" s="13" t="n">
        <v>45</v>
      </c>
      <c r="E3" s="14" t="n">
        <v>300</v>
      </c>
      <c r="F3" t="inlineStr">
        <is>
          <t>SUP005</t>
        </is>
      </c>
      <c r="G3" s="15">
        <f>IF(E3&lt;100, "CRITICAL", IF(E3&lt;300, "LOW", "OPTIMAL"))</f>
        <v/>
      </c>
      <c r="H3" s="14">
        <f>SUMIFS(Orders_Enriched!H:H, Orders_Enriched!C:C, A3)</f>
        <v/>
      </c>
      <c r="I3" s="13">
        <f>D3*H3</f>
        <v/>
      </c>
    </row>
    <row r="4">
      <c r="A4" t="inlineStr">
        <is>
          <t>PROD003</t>
        </is>
      </c>
      <c r="B4" t="inlineStr">
        <is>
          <t>Nestle Maggi 2-Minute Noodles</t>
        </is>
      </c>
      <c r="C4" t="inlineStr">
        <is>
          <t>CAT019</t>
        </is>
      </c>
      <c r="D4" s="13" t="n">
        <v>14</v>
      </c>
      <c r="E4" s="14" t="n">
        <v>1200</v>
      </c>
      <c r="F4" t="inlineStr">
        <is>
          <t>SUP006</t>
        </is>
      </c>
      <c r="G4" s="15">
        <f>IF(E4&lt;100, "CRITICAL", IF(E4&lt;300, "LOW", "OPTIMAL"))</f>
        <v/>
      </c>
      <c r="H4" s="14">
        <f>SUMIFS(Orders_Enriched!H:H, Orders_Enriched!C:C, A4)</f>
        <v/>
      </c>
      <c r="I4" s="13">
        <f>D4*H4</f>
        <v/>
      </c>
    </row>
    <row r="5">
      <c r="A5" t="inlineStr">
        <is>
          <t>PROD004</t>
        </is>
      </c>
      <c r="B5" t="inlineStr">
        <is>
          <t>Tata Salt Iodized 1kg</t>
        </is>
      </c>
      <c r="C5" t="inlineStr">
        <is>
          <t>CAT012</t>
        </is>
      </c>
      <c r="D5" s="13" t="n">
        <v>28</v>
      </c>
      <c r="E5" s="14" t="n">
        <v>800</v>
      </c>
      <c r="F5" t="inlineStr">
        <is>
          <t>SUP015</t>
        </is>
      </c>
      <c r="G5" s="15">
        <f>IF(E5&lt;100, "CRITICAL", IF(E5&lt;300, "LOW", "OPTIMAL"))</f>
        <v/>
      </c>
      <c r="H5" s="14">
        <f>SUMIFS(Orders_Enriched!H:H, Orders_Enriched!C:C, A5)</f>
        <v/>
      </c>
      <c r="I5" s="13">
        <f>D5*H5</f>
        <v/>
      </c>
    </row>
    <row r="6">
      <c r="A6" t="inlineStr">
        <is>
          <t>PROD005</t>
        </is>
      </c>
      <c r="B6" t="inlineStr">
        <is>
          <t>Ashirvaad Select Sharbati Atta 5kg</t>
        </is>
      </c>
      <c r="C6" t="inlineStr">
        <is>
          <t>CAT009</t>
        </is>
      </c>
      <c r="D6" s="13" t="n">
        <v>290</v>
      </c>
      <c r="E6" s="14" t="n">
        <v>250</v>
      </c>
      <c r="F6" t="inlineStr">
        <is>
          <t>SUP023</t>
        </is>
      </c>
      <c r="G6" s="15">
        <f>IF(E6&lt;100, "CRITICAL", IF(E6&lt;300, "LOW", "OPTIMAL"))</f>
        <v/>
      </c>
      <c r="H6" s="14">
        <f>SUMIFS(Orders_Enriched!H:H, Orders_Enriched!C:C, A6)</f>
        <v/>
      </c>
      <c r="I6" s="13">
        <f>D6*H6</f>
        <v/>
      </c>
    </row>
    <row r="7">
      <c r="A7" t="inlineStr">
        <is>
          <t>PROD006</t>
        </is>
      </c>
      <c r="B7" t="inlineStr">
        <is>
          <t>Coca-Cola 750ml PET Bottle</t>
        </is>
      </c>
      <c r="C7" t="inlineStr">
        <is>
          <t>CAT007</t>
        </is>
      </c>
      <c r="D7" s="13" t="n">
        <v>40</v>
      </c>
      <c r="E7" s="14" t="n">
        <v>600</v>
      </c>
      <c r="F7" t="inlineStr">
        <is>
          <t>SUP008</t>
        </is>
      </c>
      <c r="G7" s="15">
        <f>IF(E7&lt;100, "CRITICAL", IF(E7&lt;300, "LOW", "OPTIMAL"))</f>
        <v/>
      </c>
      <c r="H7" s="14">
        <f>SUMIFS(Orders_Enriched!H:H, Orders_Enriched!C:C, A7)</f>
        <v/>
      </c>
      <c r="I7" s="13">
        <f>D7*H7</f>
        <v/>
      </c>
    </row>
    <row r="8">
      <c r="A8" t="inlineStr">
        <is>
          <t>PROD007</t>
        </is>
      </c>
      <c r="B8" t="inlineStr">
        <is>
          <t>Lays India's Magic Masala 52g</t>
        </is>
      </c>
      <c r="C8" t="inlineStr">
        <is>
          <t>CAT006</t>
        </is>
      </c>
      <c r="D8" s="13" t="n">
        <v>20</v>
      </c>
      <c r="E8" s="14" t="n">
        <v>1500</v>
      </c>
      <c r="F8" t="inlineStr">
        <is>
          <t>SUP034</t>
        </is>
      </c>
      <c r="G8" s="15">
        <f>IF(E8&lt;100, "CRITICAL", IF(E8&lt;300, "LOW", "OPTIMAL"))</f>
        <v/>
      </c>
      <c r="H8" s="14">
        <f>SUMIFS(Orders_Enriched!H:H, Orders_Enriched!C:C, A8)</f>
        <v/>
      </c>
      <c r="I8" s="13">
        <f>D8*H8</f>
        <v/>
      </c>
    </row>
    <row r="9">
      <c r="A9" t="inlineStr">
        <is>
          <t>PROD008</t>
        </is>
      </c>
      <c r="B9" t="inlineStr">
        <is>
          <t>Parle-G Gold Biscuits 1kg</t>
        </is>
      </c>
      <c r="C9" t="inlineStr">
        <is>
          <t>CAT025</t>
        </is>
      </c>
      <c r="D9" s="13" t="n">
        <v>110</v>
      </c>
      <c r="E9" s="14" t="n">
        <v>700</v>
      </c>
      <c r="F9" t="inlineStr">
        <is>
          <t>SUP007</t>
        </is>
      </c>
      <c r="G9" s="15">
        <f>IF(E9&lt;100, "CRITICAL", IF(E9&lt;300, "LOW", "OPTIMAL"))</f>
        <v/>
      </c>
      <c r="H9" s="14">
        <f>SUMIFS(Orders_Enriched!H:H, Orders_Enriched!C:C, A9)</f>
        <v/>
      </c>
      <c r="I9" s="13">
        <f>D9*H9</f>
        <v/>
      </c>
    </row>
    <row r="10">
      <c r="A10" t="inlineStr">
        <is>
          <t>PROD009</t>
        </is>
      </c>
      <c r="B10" t="inlineStr">
        <is>
          <t>Surf Excel Easy Wash 1kg</t>
        </is>
      </c>
      <c r="C10" t="inlineStr">
        <is>
          <t>CAT016</t>
        </is>
      </c>
      <c r="D10" s="13" t="n">
        <v>135</v>
      </c>
      <c r="E10" s="14" t="n">
        <v>400</v>
      </c>
      <c r="F10" t="inlineStr">
        <is>
          <t>SUP043</t>
        </is>
      </c>
      <c r="G10" s="15">
        <f>IF(E10&lt;100, "CRITICAL", IF(E10&lt;300, "LOW", "OPTIMAL"))</f>
        <v/>
      </c>
      <c r="H10" s="14">
        <f>SUMIFS(Orders_Enriched!H:H, Orders_Enriched!C:C, A10)</f>
        <v/>
      </c>
      <c r="I10" s="13">
        <f>D10*H10</f>
        <v/>
      </c>
    </row>
    <row r="11">
      <c r="A11" t="inlineStr">
        <is>
          <t>PROD010</t>
        </is>
      </c>
      <c r="B11" t="inlineStr">
        <is>
          <t>Colgate MaxFresh Toothpaste 150g</t>
        </is>
      </c>
      <c r="C11" t="inlineStr">
        <is>
          <t>CAT015</t>
        </is>
      </c>
      <c r="D11" s="13" t="n">
        <v>95</v>
      </c>
      <c r="E11" s="14" t="n">
        <v>550</v>
      </c>
      <c r="F11" t="inlineStr">
        <is>
          <t>SUP027</t>
        </is>
      </c>
      <c r="G11" s="15">
        <f>IF(E11&lt;100, "CRITICAL", IF(E11&lt;300, "LOW", "OPTIMAL"))</f>
        <v/>
      </c>
      <c r="H11" s="14">
        <f>SUMIFS(Orders_Enriched!H:H, Orders_Enriched!C:C, A11)</f>
        <v/>
      </c>
      <c r="I11" s="13">
        <f>D11*H11</f>
        <v/>
      </c>
    </row>
    <row r="12">
      <c r="A12" t="inlineStr">
        <is>
          <t>PROD011</t>
        </is>
      </c>
      <c r="B12" t="inlineStr">
        <is>
          <t>Fresh Onion 1kg</t>
        </is>
      </c>
      <c r="C12" t="inlineStr">
        <is>
          <t>CAT002</t>
        </is>
      </c>
      <c r="D12" s="13" t="n">
        <v>45</v>
      </c>
      <c r="E12" s="14" t="n">
        <v>800</v>
      </c>
      <c r="F12" t="inlineStr">
        <is>
          <t>SUP049</t>
        </is>
      </c>
      <c r="G12" s="15">
        <f>IF(E12&lt;100, "CRITICAL", IF(E12&lt;300, "LOW", "OPTIMAL"))</f>
        <v/>
      </c>
      <c r="H12" s="14">
        <f>SUMIFS(Orders_Enriched!H:H, Orders_Enriched!C:C, A12)</f>
        <v/>
      </c>
      <c r="I12" s="13">
        <f>D12*H12</f>
        <v/>
      </c>
    </row>
    <row r="13">
      <c r="A13" t="inlineStr">
        <is>
          <t>PROD012</t>
        </is>
      </c>
      <c r="B13" t="inlineStr">
        <is>
          <t>Fresh Tomato 1kg</t>
        </is>
      </c>
      <c r="C13" t="inlineStr">
        <is>
          <t>CAT002</t>
        </is>
      </c>
      <c r="D13" s="13" t="n">
        <v>35</v>
      </c>
      <c r="E13" s="14" t="n">
        <v>900</v>
      </c>
      <c r="F13" t="inlineStr">
        <is>
          <t>SUP049</t>
        </is>
      </c>
      <c r="G13" s="15">
        <f>IF(E13&lt;100, "CRITICAL", IF(E13&lt;300, "LOW", "OPTIMAL"))</f>
        <v/>
      </c>
      <c r="H13" s="14">
        <f>SUMIFS(Orders_Enriched!H:H, Orders_Enriched!C:C, A13)</f>
        <v/>
      </c>
      <c r="I13" s="13">
        <f>D13*H13</f>
        <v/>
      </c>
    </row>
    <row r="14">
      <c r="A14" t="inlineStr">
        <is>
          <t>PROD013</t>
        </is>
      </c>
      <c r="B14" t="inlineStr">
        <is>
          <t>Fresh Potato 1kg</t>
        </is>
      </c>
      <c r="C14" t="inlineStr">
        <is>
          <t>CAT002</t>
        </is>
      </c>
      <c r="D14" s="13" t="n">
        <v>30</v>
      </c>
      <c r="E14" s="14" t="n">
        <v>1000</v>
      </c>
      <c r="F14" t="inlineStr">
        <is>
          <t>SUP049</t>
        </is>
      </c>
      <c r="G14" s="15">
        <f>IF(E14&lt;100, "CRITICAL", IF(E14&lt;300, "LOW", "OPTIMAL"))</f>
        <v/>
      </c>
      <c r="H14" s="14">
        <f>SUMIFS(Orders_Enriched!H:H, Orders_Enriched!C:C, A14)</f>
        <v/>
      </c>
      <c r="I14" s="13">
        <f>D14*H14</f>
        <v/>
      </c>
    </row>
    <row r="15">
      <c r="A15" t="inlineStr">
        <is>
          <t>PROD014</t>
        </is>
      </c>
      <c r="B15" t="inlineStr">
        <is>
          <t>Fresh Banana Robusta 1kg</t>
        </is>
      </c>
      <c r="C15" t="inlineStr">
        <is>
          <t>CAT001</t>
        </is>
      </c>
      <c r="D15" s="13" t="n">
        <v>50</v>
      </c>
      <c r="E15" s="14" t="n">
        <v>600</v>
      </c>
      <c r="F15" t="inlineStr">
        <is>
          <t>SUP050</t>
        </is>
      </c>
      <c r="G15" s="15">
        <f>IF(E15&lt;100, "CRITICAL", IF(E15&lt;300, "LOW", "OPTIMAL"))</f>
        <v/>
      </c>
      <c r="H15" s="14">
        <f>SUMIFS(Orders_Enriched!H:H, Orders_Enriched!C:C, A15)</f>
        <v/>
      </c>
      <c r="I15" s="13">
        <f>D15*H15</f>
        <v/>
      </c>
    </row>
    <row r="16">
      <c r="A16" t="inlineStr">
        <is>
          <t>PROD015</t>
        </is>
      </c>
      <c r="B16" t="inlineStr">
        <is>
          <t>Fresh Apple Royal Gala 1kg</t>
        </is>
      </c>
      <c r="C16" t="inlineStr">
        <is>
          <t>CAT001</t>
        </is>
      </c>
      <c r="D16" s="13" t="n">
        <v>180</v>
      </c>
      <c r="E16" s="14" t="n">
        <v>400</v>
      </c>
      <c r="F16" t="inlineStr">
        <is>
          <t>SUP050</t>
        </is>
      </c>
      <c r="G16" s="15">
        <f>IF(E16&lt;100, "CRITICAL", IF(E16&lt;300, "LOW", "OPTIMAL"))</f>
        <v/>
      </c>
      <c r="H16" s="14">
        <f>SUMIFS(Orders_Enriched!H:H, Orders_Enriched!C:C, A16)</f>
        <v/>
      </c>
      <c r="I16" s="13">
        <f>D16*H16</f>
        <v/>
      </c>
    </row>
    <row r="17">
      <c r="A17" t="inlineStr">
        <is>
          <t>PROD016</t>
        </is>
      </c>
      <c r="B17" t="inlineStr">
        <is>
          <t>Amul Butter 500g</t>
        </is>
      </c>
      <c r="C17" t="inlineStr">
        <is>
          <t>CAT004</t>
        </is>
      </c>
      <c r="D17" s="13" t="n">
        <v>275</v>
      </c>
      <c r="E17" s="14" t="n">
        <v>350</v>
      </c>
      <c r="F17" t="inlineStr">
        <is>
          <t>SUP004</t>
        </is>
      </c>
      <c r="G17" s="15">
        <f>IF(E17&lt;100, "CRITICAL", IF(E17&lt;300, "LOW", "OPTIMAL"))</f>
        <v/>
      </c>
      <c r="H17" s="14">
        <f>SUMIFS(Orders_Enriched!H:H, Orders_Enriched!C:C, A17)</f>
        <v/>
      </c>
      <c r="I17" s="13">
        <f>D17*H17</f>
        <v/>
      </c>
    </row>
    <row r="18">
      <c r="A18" t="inlineStr">
        <is>
          <t>PROD017</t>
        </is>
      </c>
      <c r="B18" t="inlineStr">
        <is>
          <t>Amul Cheese Slices 100g</t>
        </is>
      </c>
      <c r="C18" t="inlineStr">
        <is>
          <t>CAT004</t>
        </is>
      </c>
      <c r="D18" s="13" t="n">
        <v>78</v>
      </c>
      <c r="E18" s="14" t="n">
        <v>600</v>
      </c>
      <c r="F18" t="inlineStr">
        <is>
          <t>SUP004</t>
        </is>
      </c>
      <c r="G18" s="15">
        <f>IF(E18&lt;100, "CRITICAL", IF(E18&lt;300, "LOW", "OPTIMAL"))</f>
        <v/>
      </c>
      <c r="H18" s="14">
        <f>SUMIFS(Orders_Enriched!H:H, Orders_Enriched!C:C, A18)</f>
        <v/>
      </c>
      <c r="I18" s="13">
        <f>D18*H18</f>
        <v/>
      </c>
    </row>
    <row r="19">
      <c r="A19" t="inlineStr">
        <is>
          <t>PROD018</t>
        </is>
      </c>
      <c r="B19" t="inlineStr">
        <is>
          <t>Mother Dairy Classic Curd 400g</t>
        </is>
      </c>
      <c r="C19" t="inlineStr">
        <is>
          <t>CAT003</t>
        </is>
      </c>
      <c r="D19" s="13" t="n">
        <v>40</v>
      </c>
      <c r="E19" s="14" t="n">
        <v>450</v>
      </c>
      <c r="F19" t="inlineStr">
        <is>
          <t>SUP031</t>
        </is>
      </c>
      <c r="G19" s="15">
        <f>IF(E19&lt;100, "CRITICAL", IF(E19&lt;300, "LOW", "OPTIMAL"))</f>
        <v/>
      </c>
      <c r="H19" s="14">
        <f>SUMIFS(Orders_Enriched!H:H, Orders_Enriched!C:C, A19)</f>
        <v/>
      </c>
      <c r="I19" s="13">
        <f>D19*H19</f>
        <v/>
      </c>
    </row>
    <row r="20">
      <c r="A20" t="inlineStr">
        <is>
          <t>PROD019</t>
        </is>
      </c>
      <c r="B20" t="inlineStr">
        <is>
          <t>iD Malabar Parota 350g</t>
        </is>
      </c>
      <c r="C20" t="inlineStr">
        <is>
          <t>CAT020</t>
        </is>
      </c>
      <c r="D20" s="13" t="n">
        <v>85</v>
      </c>
      <c r="E20" s="14" t="n">
        <v>300</v>
      </c>
      <c r="F20" t="inlineStr">
        <is>
          <t>SUP032</t>
        </is>
      </c>
      <c r="G20" s="15">
        <f>IF(E20&lt;100, "CRITICAL", IF(E20&lt;300, "LOW", "OPTIMAL"))</f>
        <v/>
      </c>
      <c r="H20" s="14">
        <f>SUMIFS(Orders_Enriched!H:H, Orders_Enriched!C:C, A20)</f>
        <v/>
      </c>
      <c r="I20" s="13">
        <f>D20*H20</f>
        <v/>
      </c>
    </row>
    <row r="21">
      <c r="A21" t="inlineStr">
        <is>
          <t>PROD020</t>
        </is>
      </c>
      <c r="B21" t="inlineStr">
        <is>
          <t>Fortune Sunlite Refined Sunflower Oil 1L</t>
        </is>
      </c>
      <c r="C21" t="inlineStr">
        <is>
          <t>CAT012</t>
        </is>
      </c>
      <c r="D21" s="13" t="n">
        <v>155</v>
      </c>
      <c r="E21" s="14" t="n">
        <v>500</v>
      </c>
      <c r="F21" t="inlineStr">
        <is>
          <t>SUP041</t>
        </is>
      </c>
      <c r="G21" s="15">
        <f>IF(E21&lt;100, "CRITICAL", IF(E21&lt;300, "LOW", "OPTIMAL"))</f>
        <v/>
      </c>
      <c r="H21" s="14">
        <f>SUMIFS(Orders_Enriched!H:H, Orders_Enriched!C:C, A21)</f>
        <v/>
      </c>
      <c r="I21" s="13">
        <f>D21*H21</f>
        <v/>
      </c>
    </row>
    <row r="22">
      <c r="A22" t="inlineStr">
        <is>
          <t>PROD021</t>
        </is>
      </c>
      <c r="B22" t="inlineStr">
        <is>
          <t>India Gate Basmati Rice Classic 1kg</t>
        </is>
      </c>
      <c r="C22" t="inlineStr">
        <is>
          <t>CAT010</t>
        </is>
      </c>
      <c r="D22" s="13" t="n">
        <v>220</v>
      </c>
      <c r="E22" s="14" t="n">
        <v>300</v>
      </c>
      <c r="F22" t="inlineStr">
        <is>
          <t>SUP024</t>
        </is>
      </c>
      <c r="G22" s="15">
        <f>IF(E22&lt;100, "CRITICAL", IF(E22&lt;300, "LOW", "OPTIMAL"))</f>
        <v/>
      </c>
      <c r="H22" s="14">
        <f>SUMIFS(Orders_Enriched!H:H, Orders_Enriched!C:C, A22)</f>
        <v/>
      </c>
      <c r="I22" s="13">
        <f>D22*H22</f>
        <v/>
      </c>
    </row>
    <row r="23">
      <c r="A23" t="inlineStr">
        <is>
          <t>PROD022</t>
        </is>
      </c>
      <c r="B23" t="inlineStr">
        <is>
          <t>Tata Sampann Toor Dal 1kg</t>
        </is>
      </c>
      <c r="C23" t="inlineStr">
        <is>
          <t>CAT011</t>
        </is>
      </c>
      <c r="D23" s="13" t="n">
        <v>160</v>
      </c>
      <c r="E23" s="14" t="n">
        <v>400</v>
      </c>
      <c r="F23" t="inlineStr">
        <is>
          <t>SUP015</t>
        </is>
      </c>
      <c r="G23" s="15">
        <f>IF(E23&lt;100, "CRITICAL", IF(E23&lt;300, "LOW", "OPTIMAL"))</f>
        <v/>
      </c>
      <c r="H23" s="14">
        <f>SUMIFS(Orders_Enriched!H:H, Orders_Enriched!C:C, A23)</f>
        <v/>
      </c>
      <c r="I23" s="13">
        <f>D23*H23</f>
        <v/>
      </c>
    </row>
    <row r="24">
      <c r="A24" t="inlineStr">
        <is>
          <t>PROD023</t>
        </is>
      </c>
      <c r="B24" t="inlineStr">
        <is>
          <t>Bru Instant Coffee 100g</t>
        </is>
      </c>
      <c r="C24" t="inlineStr">
        <is>
          <t>CAT008</t>
        </is>
      </c>
      <c r="D24" s="13" t="n">
        <v>210</v>
      </c>
      <c r="E24" s="14" t="n">
        <v>250</v>
      </c>
      <c r="F24" t="inlineStr">
        <is>
          <t>SUP001</t>
        </is>
      </c>
      <c r="G24" s="15">
        <f>IF(E24&lt;100, "CRITICAL", IF(E24&lt;300, "LOW", "OPTIMAL"))</f>
        <v/>
      </c>
      <c r="H24" s="14">
        <f>SUMIFS(Orders_Enriched!H:H, Orders_Enriched!C:C, A24)</f>
        <v/>
      </c>
      <c r="I24" s="13">
        <f>D24*H24</f>
        <v/>
      </c>
    </row>
    <row r="25">
      <c r="A25" t="inlineStr">
        <is>
          <t>PROD024</t>
        </is>
      </c>
      <c r="B25" t="inlineStr">
        <is>
          <t>Taj Mahal Tea 250g</t>
        </is>
      </c>
      <c r="C25" t="inlineStr">
        <is>
          <t>CAT008</t>
        </is>
      </c>
      <c r="D25" s="13" t="n">
        <v>165</v>
      </c>
      <c r="E25" s="14" t="n">
        <v>350</v>
      </c>
      <c r="F25" t="inlineStr">
        <is>
          <t>SUP001</t>
        </is>
      </c>
      <c r="G25" s="15">
        <f>IF(E25&lt;100, "CRITICAL", IF(E25&lt;300, "LOW", "OPTIMAL"))</f>
        <v/>
      </c>
      <c r="H25" s="14">
        <f>SUMIFS(Orders_Enriched!H:H, Orders_Enriched!C:C, A25)</f>
        <v/>
      </c>
      <c r="I25" s="13">
        <f>D25*H25</f>
        <v/>
      </c>
    </row>
    <row r="26">
      <c r="A26" t="inlineStr">
        <is>
          <t>PROD025</t>
        </is>
      </c>
      <c r="B26" t="inlineStr">
        <is>
          <t>Haldirams Aloo Bhujia 200g</t>
        </is>
      </c>
      <c r="C26" t="inlineStr">
        <is>
          <t>CAT006</t>
        </is>
      </c>
      <c r="D26" s="13" t="n">
        <v>55</v>
      </c>
      <c r="E26" s="14" t="n">
        <v>800</v>
      </c>
      <c r="F26" t="inlineStr">
        <is>
          <t>SUP019</t>
        </is>
      </c>
      <c r="G26" s="15">
        <f>IF(E26&lt;100, "CRITICAL", IF(E26&lt;300, "LOW", "OPTIMAL"))</f>
        <v/>
      </c>
      <c r="H26" s="14">
        <f>SUMIFS(Orders_Enriched!H:H, Orders_Enriched!C:C, A26)</f>
        <v/>
      </c>
      <c r="I26" s="13">
        <f>D26*H26</f>
        <v/>
      </c>
    </row>
    <row r="27">
      <c r="A27" t="inlineStr">
        <is>
          <t>PROD026</t>
        </is>
      </c>
      <c r="B27" t="inlineStr">
        <is>
          <t>Kurkure Masala Munch 90g</t>
        </is>
      </c>
      <c r="C27" t="inlineStr">
        <is>
          <t>CAT006</t>
        </is>
      </c>
      <c r="D27" s="13" t="n">
        <v>20</v>
      </c>
      <c r="E27" s="14" t="n">
        <v>1300</v>
      </c>
      <c r="F27" t="inlineStr">
        <is>
          <t>SUP035</t>
        </is>
      </c>
      <c r="G27" s="15">
        <f>IF(E27&lt;100, "CRITICAL", IF(E27&lt;300, "LOW", "OPTIMAL"))</f>
        <v/>
      </c>
      <c r="H27" s="14">
        <f>SUMIFS(Orders_Enriched!H:H, Orders_Enriched!C:C, A27)</f>
        <v/>
      </c>
      <c r="I27" s="13">
        <f>D27*H27</f>
        <v/>
      </c>
    </row>
    <row r="28">
      <c r="A28" t="inlineStr">
        <is>
          <t>PROD027</t>
        </is>
      </c>
      <c r="B28" t="inlineStr">
        <is>
          <t>Sprite 750ml PET Bottle</t>
        </is>
      </c>
      <c r="C28" t="inlineStr">
        <is>
          <t>CAT007</t>
        </is>
      </c>
      <c r="D28" s="13" t="n">
        <v>40</v>
      </c>
      <c r="E28" s="14" t="n">
        <v>580</v>
      </c>
      <c r="F28" t="inlineStr">
        <is>
          <t>SUP008</t>
        </is>
      </c>
      <c r="G28" s="15">
        <f>IF(E28&lt;100, "CRITICAL", IF(E28&lt;300, "LOW", "OPTIMAL"))</f>
        <v/>
      </c>
      <c r="H28" s="14">
        <f>SUMIFS(Orders_Enriched!H:H, Orders_Enriched!C:C, A28)</f>
        <v/>
      </c>
      <c r="I28" s="13">
        <f>D28*H28</f>
        <v/>
      </c>
    </row>
    <row r="29">
      <c r="A29" t="inlineStr">
        <is>
          <t>PROD028</t>
        </is>
      </c>
      <c r="B29" t="inlineStr">
        <is>
          <t>Tropicana 100% Orange Juice 1L</t>
        </is>
      </c>
      <c r="C29" t="inlineStr">
        <is>
          <t>CAT007</t>
        </is>
      </c>
      <c r="D29" s="13" t="n">
        <v>140</v>
      </c>
      <c r="E29" s="14" t="n">
        <v>300</v>
      </c>
      <c r="F29" t="inlineStr">
        <is>
          <t>SUP038</t>
        </is>
      </c>
      <c r="G29" s="15">
        <f>IF(E29&lt;100, "CRITICAL", IF(E29&lt;300, "LOW", "OPTIMAL"))</f>
        <v/>
      </c>
      <c r="H29" s="14">
        <f>SUMIFS(Orders_Enriched!H:H, Orders_Enriched!C:C, A29)</f>
        <v/>
      </c>
      <c r="I29" s="13">
        <f>D29*H29</f>
        <v/>
      </c>
    </row>
    <row r="30">
      <c r="A30" t="inlineStr">
        <is>
          <t>PROD029</t>
        </is>
      </c>
      <c r="B30" t="inlineStr">
        <is>
          <t>Cadbury Dairy Milk Silk 150g</t>
        </is>
      </c>
      <c r="C30" t="inlineStr">
        <is>
          <t>CAT025</t>
        </is>
      </c>
      <c r="D30" s="13" t="n">
        <v>175</v>
      </c>
      <c r="E30" s="14" t="n">
        <v>400</v>
      </c>
      <c r="F30" t="inlineStr">
        <is>
          <t>SUP026</t>
        </is>
      </c>
      <c r="G30" s="15">
        <f>IF(E30&lt;100, "CRITICAL", IF(E30&lt;300, "LOW", "OPTIMAL"))</f>
        <v/>
      </c>
      <c r="H30" s="14">
        <f>SUMIFS(Orders_Enriched!H:H, Orders_Enriched!C:C, A30)</f>
        <v/>
      </c>
      <c r="I30" s="13">
        <f>D30*H30</f>
        <v/>
      </c>
    </row>
    <row r="31">
      <c r="A31" t="inlineStr">
        <is>
          <t>PROD030</t>
        </is>
      </c>
      <c r="B31" t="inlineStr">
        <is>
          <t>Oreo Chocolate Creme Biscuits 120g</t>
        </is>
      </c>
      <c r="C31" t="inlineStr">
        <is>
          <t>CAT025</t>
        </is>
      </c>
      <c r="D31" s="13" t="n">
        <v>30</v>
      </c>
      <c r="E31" s="14" t="n">
        <v>900</v>
      </c>
      <c r="F31" t="inlineStr">
        <is>
          <t>SUP026</t>
        </is>
      </c>
      <c r="G31" s="15">
        <f>IF(E31&lt;100, "CRITICAL", IF(E31&lt;300, "LOW", "OPTIMAL"))</f>
        <v/>
      </c>
      <c r="H31" s="14">
        <f>SUMIFS(Orders_Enriched!H:H, Orders_Enriched!C:C, A31)</f>
        <v/>
      </c>
      <c r="I31" s="13">
        <f>D31*H31</f>
        <v/>
      </c>
    </row>
    <row r="32">
      <c r="A32" t="inlineStr">
        <is>
          <t>PROD031</t>
        </is>
      </c>
      <c r="B32" t="inlineStr">
        <is>
          <t>Lifebuoy Total 10 Soap 125g</t>
        </is>
      </c>
      <c r="C32" t="inlineStr">
        <is>
          <t>CAT013</t>
        </is>
      </c>
      <c r="D32" s="13" t="n">
        <v>36</v>
      </c>
      <c r="E32" s="14" t="n">
        <v>700</v>
      </c>
      <c r="F32" t="inlineStr">
        <is>
          <t>SUP001</t>
        </is>
      </c>
      <c r="G32" s="15">
        <f>IF(E32&lt;100, "CRITICAL", IF(E32&lt;300, "LOW", "OPTIMAL"))</f>
        <v/>
      </c>
      <c r="H32" s="14">
        <f>SUMIFS(Orders_Enriched!H:H, Orders_Enriched!C:C, A32)</f>
        <v/>
      </c>
      <c r="I32" s="13">
        <f>D32*H32</f>
        <v/>
      </c>
    </row>
    <row r="33">
      <c r="A33" t="inlineStr">
        <is>
          <t>PROD032</t>
        </is>
      </c>
      <c r="B33" t="inlineStr">
        <is>
          <t>Dove Daily Shine Shampoo 180ml</t>
        </is>
      </c>
      <c r="C33" t="inlineStr">
        <is>
          <t>CAT014</t>
        </is>
      </c>
      <c r="D33" s="13" t="n">
        <v>190</v>
      </c>
      <c r="E33" s="14" t="n">
        <v>450</v>
      </c>
      <c r="F33" t="inlineStr">
        <is>
          <t>SUP001</t>
        </is>
      </c>
      <c r="G33" s="15">
        <f>IF(E33&lt;100, "CRITICAL", IF(E33&lt;300, "LOW", "OPTIMAL"))</f>
        <v/>
      </c>
      <c r="H33" s="14">
        <f>SUMIFS(Orders_Enriched!H:H, Orders_Enriched!C:C, A33)</f>
        <v/>
      </c>
      <c r="I33" s="13">
        <f>D33*H33</f>
        <v/>
      </c>
    </row>
    <row r="34">
      <c r="A34" t="inlineStr">
        <is>
          <t>PROD033</t>
        </is>
      </c>
      <c r="B34" t="inlineStr">
        <is>
          <t>Pepsodent Germicheck Toothpaste 150g</t>
        </is>
      </c>
      <c r="C34" t="inlineStr">
        <is>
          <t>CAT015</t>
        </is>
      </c>
      <c r="D34" s="13" t="n">
        <v>70</v>
      </c>
      <c r="E34" s="14" t="n">
        <v>600</v>
      </c>
      <c r="F34" t="inlineStr">
        <is>
          <t>SUP001</t>
        </is>
      </c>
      <c r="G34" s="15">
        <f>IF(E34&lt;100, "CRITICAL", IF(E34&lt;300, "LOW", "OPTIMAL"))</f>
        <v/>
      </c>
      <c r="H34" s="14">
        <f>SUMIFS(Orders_Enriched!H:H, Orders_Enriched!C:C, A34)</f>
        <v/>
      </c>
      <c r="I34" s="13">
        <f>D34*H34</f>
        <v/>
      </c>
    </row>
    <row r="35">
      <c r="A35" t="inlineStr">
        <is>
          <t>PROD034</t>
        </is>
      </c>
      <c r="B35" t="inlineStr">
        <is>
          <t>Vim Dishwash Liquid Gel 500ml</t>
        </is>
      </c>
      <c r="C35" t="inlineStr">
        <is>
          <t>CAT017</t>
        </is>
      </c>
      <c r="D35" s="13" t="n">
        <v>105</v>
      </c>
      <c r="E35" s="14" t="n">
        <v>500</v>
      </c>
      <c r="F35" t="inlineStr">
        <is>
          <t>SUP044</t>
        </is>
      </c>
      <c r="G35" s="15">
        <f>IF(E35&lt;100, "CRITICAL", IF(E35&lt;300, "LOW", "OPTIMAL"))</f>
        <v/>
      </c>
      <c r="H35" s="14">
        <f>SUMIFS(Orders_Enriched!H:H, Orders_Enriched!C:C, A35)</f>
        <v/>
      </c>
      <c r="I35" s="13">
        <f>D35*H35</f>
        <v/>
      </c>
    </row>
    <row r="36">
      <c r="A36" t="inlineStr">
        <is>
          <t>PROD035</t>
        </is>
      </c>
      <c r="B36" t="inlineStr">
        <is>
          <t>Lizol Floor Cleaner Citrus 975ml</t>
        </is>
      </c>
      <c r="C36" t="inlineStr">
        <is>
          <t>CAT018</t>
        </is>
      </c>
      <c r="D36" s="13" t="n">
        <v>193</v>
      </c>
      <c r="E36" s="14" t="n">
        <v>350</v>
      </c>
      <c r="F36" t="inlineStr">
        <is>
          <t>SUP045</t>
        </is>
      </c>
      <c r="G36" s="15">
        <f>IF(E36&lt;100, "CRITICAL", IF(E36&lt;300, "LOW", "OPTIMAL"))</f>
        <v/>
      </c>
      <c r="H36" s="14">
        <f>SUMIFS(Orders_Enriched!H:H, Orders_Enriched!C:C, A36)</f>
        <v/>
      </c>
      <c r="I36" s="13">
        <f>D36*H36</f>
        <v/>
      </c>
    </row>
    <row r="37">
      <c r="A37" t="inlineStr">
        <is>
          <t>PROD036</t>
        </is>
      </c>
      <c r="B37" t="inlineStr">
        <is>
          <t>Harpic Powerplus Toilet Cleaner 1L</t>
        </is>
      </c>
      <c r="C37" t="inlineStr">
        <is>
          <t>CAT018</t>
        </is>
      </c>
      <c r="D37" s="13" t="n">
        <v>185</v>
      </c>
      <c r="E37" s="14" t="n">
        <v>400</v>
      </c>
      <c r="F37" t="inlineStr">
        <is>
          <t>SUP046</t>
        </is>
      </c>
      <c r="G37" s="15">
        <f>IF(E37&lt;100, "CRITICAL", IF(E37&lt;300, "LOW", "OPTIMAL"))</f>
        <v/>
      </c>
      <c r="H37" s="14">
        <f>SUMIFS(Orders_Enriched!H:H, Orders_Enriched!C:C, A37)</f>
        <v/>
      </c>
      <c r="I37" s="13">
        <f>D37*H37</f>
        <v/>
      </c>
    </row>
    <row r="38">
      <c r="A38" t="inlineStr">
        <is>
          <t>PROD037</t>
        </is>
      </c>
      <c r="B38" t="inlineStr">
        <is>
          <t>Good Knight Gold Flash Machine + Refill</t>
        </is>
      </c>
      <c r="C38" t="inlineStr">
        <is>
          <t>CAT018</t>
        </is>
      </c>
      <c r="D38" s="13" t="n">
        <v>85</v>
      </c>
      <c r="E38" s="14" t="n">
        <v>500</v>
      </c>
      <c r="F38" t="inlineStr">
        <is>
          <t>SUP014</t>
        </is>
      </c>
      <c r="G38" s="15">
        <f>IF(E38&lt;100, "CRITICAL", IF(E38&lt;300, "LOW", "OPTIMAL"))</f>
        <v/>
      </c>
      <c r="H38" s="14">
        <f>SUMIFS(Orders_Enriched!H:H, Orders_Enriched!C:C, A38)</f>
        <v/>
      </c>
      <c r="I38" s="13">
        <f>D38*H38</f>
        <v/>
      </c>
    </row>
    <row r="39">
      <c r="A39" t="inlineStr">
        <is>
          <t>PROD038</t>
        </is>
      </c>
      <c r="B39" t="inlineStr">
        <is>
          <t>McCain Smiles 415g</t>
        </is>
      </c>
      <c r="C39" t="inlineStr">
        <is>
          <t>CAT020</t>
        </is>
      </c>
      <c r="D39" s="13" t="n">
        <v>115</v>
      </c>
      <c r="E39" s="14" t="n">
        <v>300</v>
      </c>
      <c r="F39" t="inlineStr">
        <is>
          <t>SUP018</t>
        </is>
      </c>
      <c r="G39" s="15">
        <f>IF(E39&lt;100, "CRITICAL", IF(E39&lt;300, "LOW", "OPTIMAL"))</f>
        <v/>
      </c>
      <c r="H39" s="14">
        <f>SUMIFS(Orders_Enriched!H:H, Orders_Enriched!C:C, A39)</f>
        <v/>
      </c>
      <c r="I39" s="13">
        <f>D39*H39</f>
        <v/>
      </c>
    </row>
    <row r="40">
      <c r="A40" t="inlineStr">
        <is>
          <t>PROD039</t>
        </is>
      </c>
      <c r="B40" t="inlineStr">
        <is>
          <t>Kissan Fresh Tomato Ketchup 950g</t>
        </is>
      </c>
      <c r="C40" t="inlineStr">
        <is>
          <t>CAT012</t>
        </is>
      </c>
      <c r="D40" s="13" t="n">
        <v>120</v>
      </c>
      <c r="E40" s="14" t="n">
        <v>450</v>
      </c>
      <c r="F40" t="inlineStr">
        <is>
          <t>SUP037</t>
        </is>
      </c>
      <c r="G40" s="15">
        <f>IF(E40&lt;100, "CRITICAL", IF(E40&lt;300, "LOW", "OPTIMAL"))</f>
        <v/>
      </c>
      <c r="H40" s="14">
        <f>SUMIFS(Orders_Enriched!H:H, Orders_Enriched!C:C, A40)</f>
        <v/>
      </c>
      <c r="I40" s="13">
        <f>D40*H40</f>
        <v/>
      </c>
    </row>
    <row r="41">
      <c r="A41" t="inlineStr">
        <is>
          <t>PROD040</t>
        </is>
      </c>
      <c r="B41" t="inlineStr">
        <is>
          <t>MDH Deggi Mirch 100g</t>
        </is>
      </c>
      <c r="C41" t="inlineStr">
        <is>
          <t>CAT023</t>
        </is>
      </c>
      <c r="D41" s="13" t="n">
        <v>72</v>
      </c>
      <c r="E41" s="14" t="n">
        <v>600</v>
      </c>
      <c r="F41" t="inlineStr">
        <is>
          <t>SUP021</t>
        </is>
      </c>
      <c r="G41" s="15">
        <f>IF(E41&lt;100, "CRITICAL", IF(E41&lt;300, "LOW", "OPTIMAL"))</f>
        <v/>
      </c>
      <c r="H41" s="14">
        <f>SUMIFS(Orders_Enriched!H:H, Orders_Enriched!C:C, A41)</f>
        <v/>
      </c>
      <c r="I41" s="13">
        <f>D41*H41</f>
        <v/>
      </c>
    </row>
    <row r="42">
      <c r="A42" t="inlineStr">
        <is>
          <t>PROD041</t>
        </is>
      </c>
      <c r="B42" t="inlineStr">
        <is>
          <t>Everest Turmeric Powder 200g</t>
        </is>
      </c>
      <c r="C42" t="inlineStr">
        <is>
          <t>CAT023</t>
        </is>
      </c>
      <c r="D42" s="13" t="n">
        <v>60</v>
      </c>
      <c r="E42" s="14" t="n">
        <v>700</v>
      </c>
      <c r="F42" t="inlineStr">
        <is>
          <t>SUP022</t>
        </is>
      </c>
      <c r="G42" s="15">
        <f>IF(E42&lt;100, "CRITICAL", IF(E42&lt;300, "LOW", "OPTIMAL"))</f>
        <v/>
      </c>
      <c r="H42" s="14">
        <f>SUMIFS(Orders_Enriched!H:H, Orders_Enriched!C:C, A42)</f>
        <v/>
      </c>
      <c r="I42" s="13">
        <f>D42*H42</f>
        <v/>
      </c>
    </row>
    <row r="43">
      <c r="A43" t="inlineStr">
        <is>
          <t>PROD042</t>
        </is>
      </c>
      <c r="B43" t="inlineStr">
        <is>
          <t>Kelloggs Corn Flakes 875g</t>
        </is>
      </c>
      <c r="C43" t="inlineStr">
        <is>
          <t>CAT024</t>
        </is>
      </c>
      <c r="D43" s="13" t="n">
        <v>360</v>
      </c>
      <c r="E43" s="14" t="n">
        <v>200</v>
      </c>
      <c r="F43" t="inlineStr">
        <is>
          <t>SUP025</t>
        </is>
      </c>
      <c r="G43" s="15">
        <f>IF(E43&lt;100, "CRITICAL", IF(E43&lt;300, "LOW", "OPTIMAL"))</f>
        <v/>
      </c>
      <c r="H43" s="14">
        <f>SUMIFS(Orders_Enriched!H:H, Orders_Enriched!C:C, A43)</f>
        <v/>
      </c>
      <c r="I43" s="13">
        <f>D43*H43</f>
        <v/>
      </c>
    </row>
    <row r="44">
      <c r="A44" t="inlineStr">
        <is>
          <t>PROD043</t>
        </is>
      </c>
      <c r="B44" t="inlineStr">
        <is>
          <t>Quaker Oats 1kg</t>
        </is>
      </c>
      <c r="C44" t="inlineStr">
        <is>
          <t>CAT024</t>
        </is>
      </c>
      <c r="D44" s="13" t="n">
        <v>199</v>
      </c>
      <c r="E44" s="14" t="n">
        <v>300</v>
      </c>
      <c r="F44" t="inlineStr">
        <is>
          <t>SUP009</t>
        </is>
      </c>
      <c r="G44" s="15">
        <f>IF(E44&lt;100, "CRITICAL", IF(E44&lt;300, "LOW", "OPTIMAL"))</f>
        <v/>
      </c>
      <c r="H44" s="14">
        <f>SUMIFS(Orders_Enriched!H:H, Orders_Enriched!C:C, A44)</f>
        <v/>
      </c>
      <c r="I44" s="13">
        <f>D44*H44</f>
        <v/>
      </c>
    </row>
    <row r="45">
      <c r="A45" t="inlineStr">
        <is>
          <t>PROD044</t>
        </is>
      </c>
      <c r="B45" t="inlineStr">
        <is>
          <t>Pampers Active Baby Diapers M-size 46</t>
        </is>
      </c>
      <c r="C45" t="inlineStr">
        <is>
          <t>CAT021</t>
        </is>
      </c>
      <c r="D45" s="13" t="n">
        <v>699</v>
      </c>
      <c r="E45" s="14" t="n">
        <v>150</v>
      </c>
      <c r="F45" t="inlineStr">
        <is>
          <t>SUP047</t>
        </is>
      </c>
      <c r="G45" s="15">
        <f>IF(E45&lt;100, "CRITICAL", IF(E45&lt;300, "LOW", "OPTIMAL"))</f>
        <v/>
      </c>
      <c r="H45" s="14">
        <f>SUMIFS(Orders_Enriched!H:H, Orders_Enriched!C:C, A45)</f>
        <v/>
      </c>
      <c r="I45" s="13">
        <f>D45*H45</f>
        <v/>
      </c>
    </row>
    <row r="46">
      <c r="A46" t="inlineStr">
        <is>
          <t>PROD045</t>
        </is>
      </c>
      <c r="B46" t="inlineStr">
        <is>
          <t>Pedigree Adult Dog Food Chicken &amp; Veg 3kg</t>
        </is>
      </c>
      <c r="C46" t="inlineStr">
        <is>
          <t>CAT022</t>
        </is>
      </c>
      <c r="D46" s="13" t="n">
        <v>740</v>
      </c>
      <c r="E46" s="14" t="n">
        <v>100</v>
      </c>
      <c r="F46" t="inlineStr">
        <is>
          <t>SUP048</t>
        </is>
      </c>
      <c r="G46" s="15">
        <f>IF(E46&lt;100, "CRITICAL", IF(E46&lt;300, "LOW", "OPTIMAL"))</f>
        <v/>
      </c>
      <c r="H46" s="14">
        <f>SUMIFS(Orders_Enriched!H:H, Orders_Enriched!C:C, A46)</f>
        <v/>
      </c>
      <c r="I46" s="13">
        <f>D46*H46</f>
        <v/>
      </c>
    </row>
    <row r="47">
      <c r="A47" t="inlineStr">
        <is>
          <t>PROD046</t>
        </is>
      </c>
      <c r="B47" t="inlineStr">
        <is>
          <t>Fresh Coriander Bunch</t>
        </is>
      </c>
      <c r="C47" t="inlineStr">
        <is>
          <t>CAT002</t>
        </is>
      </c>
      <c r="D47" s="13" t="n">
        <v>15</v>
      </c>
      <c r="E47" s="14" t="n">
        <v>500</v>
      </c>
      <c r="F47" t="inlineStr">
        <is>
          <t>SUP049</t>
        </is>
      </c>
      <c r="G47" s="15">
        <f>IF(E47&lt;100, "CRITICAL", IF(E47&lt;300, "LOW", "OPTIMAL"))</f>
        <v/>
      </c>
      <c r="H47" s="14">
        <f>SUMIFS(Orders_Enriched!H:H, Orders_Enriched!C:C, A47)</f>
        <v/>
      </c>
      <c r="I47" s="13">
        <f>D47*H47</f>
        <v/>
      </c>
    </row>
    <row r="48">
      <c r="A48" t="inlineStr">
        <is>
          <t>PROD047</t>
        </is>
      </c>
      <c r="B48" t="inlineStr">
        <is>
          <t>Fresh Mint Bunch</t>
        </is>
      </c>
      <c r="C48" t="inlineStr">
        <is>
          <t>CAT002</t>
        </is>
      </c>
      <c r="D48" s="13" t="n">
        <v>12</v>
      </c>
      <c r="E48" s="14" t="n">
        <v>500</v>
      </c>
      <c r="F48" t="inlineStr">
        <is>
          <t>SUP049</t>
        </is>
      </c>
      <c r="G48" s="15">
        <f>IF(E48&lt;100, "CRITICAL", IF(E48&lt;300, "LOW", "OPTIMAL"))</f>
        <v/>
      </c>
      <c r="H48" s="14">
        <f>SUMIFS(Orders_Enriched!H:H, Orders_Enriched!C:C, A48)</f>
        <v/>
      </c>
      <c r="I48" s="13">
        <f>D48*H48</f>
        <v/>
      </c>
    </row>
    <row r="49">
      <c r="A49" t="inlineStr">
        <is>
          <t>PROD048</t>
        </is>
      </c>
      <c r="B49" t="inlineStr">
        <is>
          <t>Fresh Ginger 100g</t>
        </is>
      </c>
      <c r="C49" t="inlineStr">
        <is>
          <t>CAT002</t>
        </is>
      </c>
      <c r="D49" s="13" t="n">
        <v>25</v>
      </c>
      <c r="E49" s="14" t="n">
        <v>600</v>
      </c>
      <c r="F49" t="inlineStr">
        <is>
          <t>SUP049</t>
        </is>
      </c>
      <c r="G49" s="15">
        <f>IF(E49&lt;100, "CRITICAL", IF(E49&lt;300, "LOW", "OPTIMAL"))</f>
        <v/>
      </c>
      <c r="H49" s="14">
        <f>SUMIFS(Orders_Enriched!H:H, Orders_Enriched!C:C, A49)</f>
        <v/>
      </c>
      <c r="I49" s="13">
        <f>D49*H49</f>
        <v/>
      </c>
    </row>
    <row r="50">
      <c r="A50" t="inlineStr">
        <is>
          <t>PROD049</t>
        </is>
      </c>
      <c r="B50" t="inlineStr">
        <is>
          <t>Fresh Garlic 100g</t>
        </is>
      </c>
      <c r="C50" t="inlineStr">
        <is>
          <t>CAT002</t>
        </is>
      </c>
      <c r="D50" s="13" t="n">
        <v>30</v>
      </c>
      <c r="E50" s="14" t="n">
        <v>600</v>
      </c>
      <c r="F50" t="inlineStr">
        <is>
          <t>SUP049</t>
        </is>
      </c>
      <c r="G50" s="15">
        <f>IF(E50&lt;100, "CRITICAL", IF(E50&lt;300, "LOW", "OPTIMAL"))</f>
        <v/>
      </c>
      <c r="H50" s="14">
        <f>SUMIFS(Orders_Enriched!H:H, Orders_Enriched!C:C, A50)</f>
        <v/>
      </c>
      <c r="I50" s="13">
        <f>D50*H50</f>
        <v/>
      </c>
    </row>
    <row r="51">
      <c r="A51" t="inlineStr">
        <is>
          <t>PROD050</t>
        </is>
      </c>
      <c r="B51" t="inlineStr">
        <is>
          <t>Fresh Lemon 4pcs</t>
        </is>
      </c>
      <c r="C51" t="inlineStr">
        <is>
          <t>CAT001</t>
        </is>
      </c>
      <c r="D51" s="13" t="n">
        <v>20</v>
      </c>
      <c r="E51" s="14" t="n">
        <v>700</v>
      </c>
      <c r="F51" t="inlineStr">
        <is>
          <t>SUP050</t>
        </is>
      </c>
      <c r="G51" s="15">
        <f>IF(E51&lt;100, "CRITICAL", IF(E51&lt;300, "LOW", "OPTIMAL"))</f>
        <v/>
      </c>
      <c r="H51" s="14">
        <f>SUMIFS(Orders_Enriched!H:H, Orders_Enriched!C:C, A51)</f>
        <v/>
      </c>
      <c r="I51" s="13">
        <f>D51*H51</f>
        <v/>
      </c>
    </row>
    <row r="52">
      <c r="A52" t="inlineStr">
        <is>
          <t>PROD051</t>
        </is>
      </c>
      <c r="B52" t="inlineStr">
        <is>
          <t>Amul Masti Dahi 400g</t>
        </is>
      </c>
      <c r="C52" t="inlineStr">
        <is>
          <t>CAT003</t>
        </is>
      </c>
      <c r="D52" s="13" t="n">
        <v>38</v>
      </c>
      <c r="E52" s="14" t="n">
        <v>480</v>
      </c>
      <c r="F52" t="inlineStr">
        <is>
          <t>SUP004</t>
        </is>
      </c>
      <c r="G52" s="15">
        <f>IF(E52&lt;100, "CRITICAL", IF(E52&lt;300, "LOW", "OPTIMAL"))</f>
        <v/>
      </c>
      <c r="H52" s="14">
        <f>SUMIFS(Orders_Enriched!H:H, Orders_Enriched!C:C, A52)</f>
        <v/>
      </c>
      <c r="I52" s="13">
        <f>D52*H52</f>
        <v/>
      </c>
    </row>
    <row r="53">
      <c r="A53" t="inlineStr">
        <is>
          <t>PROD052</t>
        </is>
      </c>
      <c r="B53" t="inlineStr">
        <is>
          <t>Britannia Brown Bread</t>
        </is>
      </c>
      <c r="C53" t="inlineStr">
        <is>
          <t>CAT005</t>
        </is>
      </c>
      <c r="D53" s="13" t="n">
        <v>50</v>
      </c>
      <c r="E53" s="14" t="n">
        <v>280</v>
      </c>
      <c r="F53" t="inlineStr">
        <is>
          <t>SUP005</t>
        </is>
      </c>
      <c r="G53" s="15">
        <f>IF(E53&lt;100, "CRITICAL", IF(E53&lt;300, "LOW", "OPTIMAL"))</f>
        <v/>
      </c>
      <c r="H53" s="14">
        <f>SUMIFS(Orders_Enriched!H:H, Orders_Enriched!C:C, A53)</f>
        <v/>
      </c>
      <c r="I53" s="13">
        <f>D53*H53</f>
        <v/>
      </c>
    </row>
    <row r="54">
      <c r="A54" t="inlineStr">
        <is>
          <t>PROD053</t>
        </is>
      </c>
      <c r="B54" t="inlineStr">
        <is>
          <t>Top Ramen Masala Noodles</t>
        </is>
      </c>
      <c r="C54" t="inlineStr">
        <is>
          <t>CAT019</t>
        </is>
      </c>
      <c r="D54" s="13" t="n">
        <v>12</v>
      </c>
      <c r="E54" s="14" t="n">
        <v>1100</v>
      </c>
      <c r="F54" t="inlineStr">
        <is>
          <t>SUP006</t>
        </is>
      </c>
      <c r="G54" s="15">
        <f>IF(E54&lt;100, "CRITICAL", IF(E54&lt;300, "LOW", "OPTIMAL"))</f>
        <v/>
      </c>
      <c r="H54" s="14">
        <f>SUMIFS(Orders_Enriched!H:H, Orders_Enriched!C:C, A54)</f>
        <v/>
      </c>
      <c r="I54" s="13">
        <f>D54*H54</f>
        <v/>
      </c>
    </row>
    <row r="55">
      <c r="A55" t="inlineStr">
        <is>
          <t>PROD054</t>
        </is>
      </c>
      <c r="B55" t="inlineStr">
        <is>
          <t>Tata Tea Gold 500g</t>
        </is>
      </c>
      <c r="C55" t="inlineStr">
        <is>
          <t>CAT008</t>
        </is>
      </c>
      <c r="D55" s="13" t="n">
        <v>310</v>
      </c>
      <c r="E55" s="14" t="n">
        <v>320</v>
      </c>
      <c r="F55" t="inlineStr">
        <is>
          <t>SUP015</t>
        </is>
      </c>
      <c r="G55" s="15">
        <f>IF(E55&lt;100, "CRITICAL", IF(E55&lt;300, "LOW", "OPTIMAL"))</f>
        <v/>
      </c>
      <c r="H55" s="14">
        <f>SUMIFS(Orders_Enriched!H:H, Orders_Enriched!C:C, A55)</f>
        <v/>
      </c>
      <c r="I55" s="13">
        <f>D55*H55</f>
        <v/>
      </c>
    </row>
    <row r="56">
      <c r="A56" t="inlineStr">
        <is>
          <t>PROD055</t>
        </is>
      </c>
      <c r="B56" t="inlineStr">
        <is>
          <t>Pillsbury Chakki Fresh Atta 5kg</t>
        </is>
      </c>
      <c r="C56" t="inlineStr">
        <is>
          <t>CAT009</t>
        </is>
      </c>
      <c r="D56" s="13" t="n">
        <v>280</v>
      </c>
      <c r="E56" s="14" t="n">
        <v>260</v>
      </c>
      <c r="F56" t="inlineStr">
        <is>
          <t>SUP001</t>
        </is>
      </c>
      <c r="G56" s="15">
        <f>IF(E56&lt;100, "CRITICAL", IF(E56&lt;300, "LOW", "OPTIMAL"))</f>
        <v/>
      </c>
      <c r="H56" s="14">
        <f>SUMIFS(Orders_Enriched!H:H, Orders_Enriched!C:C, A56)</f>
        <v/>
      </c>
      <c r="I56" s="13">
        <f>D56*H56</f>
        <v/>
      </c>
    </row>
    <row r="57">
      <c r="A57" t="inlineStr">
        <is>
          <t>PROD056</t>
        </is>
      </c>
      <c r="B57" t="inlineStr">
        <is>
          <t>Fanta 750ml PET Bottle</t>
        </is>
      </c>
      <c r="C57" t="inlineStr">
        <is>
          <t>CAT007</t>
        </is>
      </c>
      <c r="D57" s="13" t="n">
        <v>40</v>
      </c>
      <c r="E57" s="14" t="n">
        <v>590</v>
      </c>
      <c r="F57" t="inlineStr">
        <is>
          <t>SUP008</t>
        </is>
      </c>
      <c r="G57" s="15">
        <f>IF(E57&lt;100, "CRITICAL", IF(E57&lt;300, "LOW", "OPTIMAL"))</f>
        <v/>
      </c>
      <c r="H57" s="14">
        <f>SUMIFS(Orders_Enriched!H:H, Orders_Enriched!C:C, A57)</f>
        <v/>
      </c>
      <c r="I57" s="13">
        <f>D57*H57</f>
        <v/>
      </c>
    </row>
    <row r="58">
      <c r="A58" t="inlineStr">
        <is>
          <t>PROD057</t>
        </is>
      </c>
      <c r="B58" t="inlineStr">
        <is>
          <t>Bingo Mad Angles Achaari Masti</t>
        </is>
      </c>
      <c r="C58" t="inlineStr">
        <is>
          <t>CAT006</t>
        </is>
      </c>
      <c r="D58" s="13" t="n">
        <v>20</v>
      </c>
      <c r="E58" s="14" t="n">
        <v>1400</v>
      </c>
      <c r="F58" t="inlineStr">
        <is>
          <t>SUP003</t>
        </is>
      </c>
      <c r="G58" s="15">
        <f>IF(E58&lt;100, "CRITICAL", IF(E58&lt;300, "LOW", "OPTIMAL"))</f>
        <v/>
      </c>
      <c r="H58" s="14">
        <f>SUMIFS(Orders_Enriched!H:H, Orders_Enriched!C:C, A58)</f>
        <v/>
      </c>
      <c r="I58" s="13">
        <f>D58*H58</f>
        <v/>
      </c>
    </row>
    <row r="59">
      <c r="A59" t="inlineStr">
        <is>
          <t>PROD058</t>
        </is>
      </c>
      <c r="B59" t="inlineStr">
        <is>
          <t>Sunfeast Dark Fantasy Choco Fills</t>
        </is>
      </c>
      <c r="C59" t="inlineStr">
        <is>
          <t>CAT025</t>
        </is>
      </c>
      <c r="D59" s="13" t="n">
        <v>35</v>
      </c>
      <c r="E59" s="14" t="n">
        <v>850</v>
      </c>
      <c r="F59" t="inlineStr">
        <is>
          <t>SUP033</t>
        </is>
      </c>
      <c r="G59" s="15">
        <f>IF(E59&lt;100, "CRITICAL", IF(E59&lt;300, "LOW", "OPTIMAL"))</f>
        <v/>
      </c>
      <c r="H59" s="14">
        <f>SUMIFS(Orders_Enriched!H:H, Orders_Enriched!C:C, A59)</f>
        <v/>
      </c>
      <c r="I59" s="13">
        <f>D59*H59</f>
        <v/>
      </c>
    </row>
    <row r="60">
      <c r="A60" t="inlineStr">
        <is>
          <t>PROD059</t>
        </is>
      </c>
      <c r="B60" t="inlineStr">
        <is>
          <t>Ariel Matic Top Load 1kg</t>
        </is>
      </c>
      <c r="C60" t="inlineStr">
        <is>
          <t>CAT016</t>
        </is>
      </c>
      <c r="D60" s="13" t="n">
        <v>250</v>
      </c>
      <c r="E60" s="14" t="n">
        <v>380</v>
      </c>
      <c r="F60" t="inlineStr">
        <is>
          <t>SUP002</t>
        </is>
      </c>
      <c r="G60" s="15">
        <f>IF(E60&lt;100, "CRITICAL", IF(E60&lt;300, "LOW", "OPTIMAL"))</f>
        <v/>
      </c>
      <c r="H60" s="14">
        <f>SUMIFS(Orders_Enriched!H:H, Orders_Enriched!C:C, A60)</f>
        <v/>
      </c>
      <c r="I60" s="13">
        <f>D60*H60</f>
        <v/>
      </c>
    </row>
    <row r="61">
      <c r="A61" t="inlineStr">
        <is>
          <t>PROD060</t>
        </is>
      </c>
      <c r="B61" t="inlineStr">
        <is>
          <t>Listerine Cool Mint Mouthwash 250ml</t>
        </is>
      </c>
      <c r="C61" t="inlineStr">
        <is>
          <t>CAT015</t>
        </is>
      </c>
      <c r="D61" s="13" t="n">
        <v>149</v>
      </c>
      <c r="E61" s="14" t="n">
        <v>530</v>
      </c>
      <c r="F61" t="inlineStr">
        <is>
          <t>SUP028</t>
        </is>
      </c>
      <c r="G61" s="15">
        <f>IF(E61&lt;100, "CRITICAL", IF(E61&lt;300, "LOW", "OPTIMAL"))</f>
        <v/>
      </c>
      <c r="H61" s="14">
        <f>SUMIFS(Orders_Enriched!H:H, Orders_Enriched!C:C, A61)</f>
        <v/>
      </c>
      <c r="I61" s="13">
        <f>D61*H61</f>
        <v/>
      </c>
    </row>
    <row r="62">
      <c r="A62" t="inlineStr">
        <is>
          <t>PROD061</t>
        </is>
      </c>
      <c r="B62" t="inlineStr">
        <is>
          <t>Fresh Capsicum 500g</t>
        </is>
      </c>
      <c r="C62" t="inlineStr">
        <is>
          <t>CAT002</t>
        </is>
      </c>
      <c r="D62" s="13" t="n">
        <v>60</v>
      </c>
      <c r="E62" s="14" t="n">
        <v>750</v>
      </c>
      <c r="F62" t="inlineStr">
        <is>
          <t>SUP049</t>
        </is>
      </c>
      <c r="G62" s="15">
        <f>IF(E62&lt;100, "CRITICAL", IF(E62&lt;300, "LOW", "OPTIMAL"))</f>
        <v/>
      </c>
      <c r="H62" s="14">
        <f>SUMIFS(Orders_Enriched!H:H, Orders_Enriched!C:C, A62)</f>
        <v/>
      </c>
      <c r="I62" s="13">
        <f>D62*H62</f>
        <v/>
      </c>
    </row>
    <row r="63">
      <c r="A63" t="inlineStr">
        <is>
          <t>PROD062</t>
        </is>
      </c>
      <c r="B63" t="inlineStr">
        <is>
          <t>Fresh Cauliflower 1pc</t>
        </is>
      </c>
      <c r="C63" t="inlineStr">
        <is>
          <t>CAT002</t>
        </is>
      </c>
      <c r="D63" s="13" t="n">
        <v>40</v>
      </c>
      <c r="E63" s="14" t="n">
        <v>850</v>
      </c>
      <c r="F63" t="inlineStr">
        <is>
          <t>SUP049</t>
        </is>
      </c>
      <c r="G63" s="15">
        <f>IF(E63&lt;100, "CRITICAL", IF(E63&lt;300, "LOW", "OPTIMAL"))</f>
        <v/>
      </c>
      <c r="H63" s="14">
        <f>SUMIFS(Orders_Enriched!H:H, Orders_Enriched!C:C, A63)</f>
        <v/>
      </c>
      <c r="I63" s="13">
        <f>D63*H63</f>
        <v/>
      </c>
    </row>
    <row r="64">
      <c r="A64" t="inlineStr">
        <is>
          <t>PROD063</t>
        </is>
      </c>
      <c r="B64" t="inlineStr">
        <is>
          <t>Fresh Cabbage 1pc</t>
        </is>
      </c>
      <c r="C64" t="inlineStr">
        <is>
          <t>CAT002</t>
        </is>
      </c>
      <c r="D64" s="13" t="n">
        <v>35</v>
      </c>
      <c r="E64" s="14" t="n">
        <v>950</v>
      </c>
      <c r="F64" t="inlineStr">
        <is>
          <t>SUP049</t>
        </is>
      </c>
      <c r="G64" s="15">
        <f>IF(E64&lt;100, "CRITICAL", IF(E64&lt;300, "LOW", "OPTIMAL"))</f>
        <v/>
      </c>
      <c r="H64" s="14">
        <f>SUMIFS(Orders_Enriched!H:H, Orders_Enriched!C:C, A64)</f>
        <v/>
      </c>
      <c r="I64" s="13">
        <f>D64*H64</f>
        <v/>
      </c>
    </row>
    <row r="65">
      <c r="A65" t="inlineStr">
        <is>
          <t>PROD064</t>
        </is>
      </c>
      <c r="B65" t="inlineStr">
        <is>
          <t>Fresh Pomegranate 1kg</t>
        </is>
      </c>
      <c r="C65" t="inlineStr">
        <is>
          <t>CAT001</t>
        </is>
      </c>
      <c r="D65" s="13" t="n">
        <v>220</v>
      </c>
      <c r="E65" s="14" t="n">
        <v>550</v>
      </c>
      <c r="F65" t="inlineStr">
        <is>
          <t>SUP050</t>
        </is>
      </c>
      <c r="G65" s="15">
        <f>IF(E65&lt;100, "CRITICAL", IF(E65&lt;300, "LOW", "OPTIMAL"))</f>
        <v/>
      </c>
      <c r="H65" s="14">
        <f>SUMIFS(Orders_Enriched!H:H, Orders_Enriched!C:C, A65)</f>
        <v/>
      </c>
      <c r="I65" s="13">
        <f>D65*H65</f>
        <v/>
      </c>
    </row>
    <row r="66">
      <c r="A66" t="inlineStr">
        <is>
          <t>PROD065</t>
        </is>
      </c>
      <c r="B66" t="inlineStr">
        <is>
          <t>Fresh Watermelon 1pc</t>
        </is>
      </c>
      <c r="C66" t="inlineStr">
        <is>
          <t>CAT001</t>
        </is>
      </c>
      <c r="D66" s="13" t="n">
        <v>90</v>
      </c>
      <c r="E66" s="14" t="n">
        <v>350</v>
      </c>
      <c r="F66" t="inlineStr">
        <is>
          <t>SUP050</t>
        </is>
      </c>
      <c r="G66" s="15">
        <f>IF(E66&lt;100, "CRITICAL", IF(E66&lt;300, "LOW", "OPTIMAL"))</f>
        <v/>
      </c>
      <c r="H66" s="14">
        <f>SUMIFS(Orders_Enriched!H:H, Orders_Enriched!C:C, A66)</f>
        <v/>
      </c>
      <c r="I66" s="13">
        <f>D66*H66</f>
        <v/>
      </c>
    </row>
    <row r="67">
      <c r="A67" t="inlineStr">
        <is>
          <t>PROD066</t>
        </is>
      </c>
      <c r="B67" t="inlineStr">
        <is>
          <t>Go Cheese Slices 100g</t>
        </is>
      </c>
      <c r="C67" t="inlineStr">
        <is>
          <t>CAT004</t>
        </is>
      </c>
      <c r="D67" s="13" t="n">
        <v>75</v>
      </c>
      <c r="E67" s="14" t="n">
        <v>580</v>
      </c>
      <c r="F67" t="inlineStr">
        <is>
          <t>SUP004</t>
        </is>
      </c>
      <c r="G67" s="15">
        <f>IF(E67&lt;100, "CRITICAL", IF(E67&lt;300, "LOW", "OPTIMAL"))</f>
        <v/>
      </c>
      <c r="H67" s="14">
        <f>SUMIFS(Orders_Enriched!H:H, Orders_Enriched!C:C, A67)</f>
        <v/>
      </c>
      <c r="I67" s="13">
        <f>D67*H67</f>
        <v/>
      </c>
    </row>
    <row r="68">
      <c r="A68" t="inlineStr">
        <is>
          <t>PROD067</t>
        </is>
      </c>
      <c r="B68" t="inlineStr">
        <is>
          <t>Nestle a+ Curd 400g</t>
        </is>
      </c>
      <c r="C68" t="inlineStr">
        <is>
          <t>CAT003</t>
        </is>
      </c>
      <c r="D68" s="13" t="n">
        <v>42</v>
      </c>
      <c r="E68" s="14" t="n">
        <v>430</v>
      </c>
      <c r="F68" t="inlineStr">
        <is>
          <t>SUP006</t>
        </is>
      </c>
      <c r="G68" s="15">
        <f>IF(E68&lt;100, "CRITICAL", IF(E68&lt;300, "LOW", "OPTIMAL"))</f>
        <v/>
      </c>
      <c r="H68" s="14">
        <f>SUMIFS(Orders_Enriched!H:H, Orders_Enriched!C:C, A68)</f>
        <v/>
      </c>
      <c r="I68" s="13">
        <f>D68*H68</f>
        <v/>
      </c>
    </row>
    <row r="69">
      <c r="A69" t="inlineStr">
        <is>
          <t>PROD068</t>
        </is>
      </c>
      <c r="B69" t="inlineStr">
        <is>
          <t>Saffola Gold Refined Oil 1L</t>
        </is>
      </c>
      <c r="C69" t="inlineStr">
        <is>
          <t>CAT012</t>
        </is>
      </c>
      <c r="D69" s="13" t="n">
        <v>170</v>
      </c>
      <c r="E69" s="14" t="n">
        <v>480</v>
      </c>
      <c r="F69" t="inlineStr">
        <is>
          <t>SUP040</t>
        </is>
      </c>
      <c r="G69" s="15">
        <f>IF(E69&lt;100, "CRITICAL", IF(E69&lt;300, "LOW", "OPTIMAL"))</f>
        <v/>
      </c>
      <c r="H69" s="14">
        <f>SUMIFS(Orders_Enriched!H:H, Orders_Enriched!C:C, A69)</f>
        <v/>
      </c>
      <c r="I69" s="13">
        <f>D69*H69</f>
        <v/>
      </c>
    </row>
    <row r="70">
      <c r="A70" t="inlineStr">
        <is>
          <t>PROD069</t>
        </is>
      </c>
      <c r="B70" t="inlineStr">
        <is>
          <t>Daawat Basmati Rice Rozana Gold 1kg</t>
        </is>
      </c>
      <c r="C70" t="inlineStr">
        <is>
          <t>CAT010</t>
        </is>
      </c>
      <c r="D70" s="13" t="n">
        <v>150</v>
      </c>
      <c r="E70" s="14" t="n">
        <v>280</v>
      </c>
      <c r="F70" t="inlineStr">
        <is>
          <t>SUP024</t>
        </is>
      </c>
      <c r="G70" s="15">
        <f>IF(E70&lt;100, "CRITICAL", IF(E70&lt;300, "LOW", "OPTIMAL"))</f>
        <v/>
      </c>
      <c r="H70" s="14">
        <f>SUMIFS(Orders_Enriched!H:H, Orders_Enriched!C:C, A70)</f>
        <v/>
      </c>
      <c r="I70" s="13">
        <f>D70*H70</f>
        <v/>
      </c>
    </row>
    <row r="71">
      <c r="A71" t="inlineStr">
        <is>
          <t>PROD070</t>
        </is>
      </c>
      <c r="B71" t="inlineStr">
        <is>
          <t>Tata Sampann Chana Dal 1kg</t>
        </is>
      </c>
      <c r="C71" t="inlineStr">
        <is>
          <t>CAT011</t>
        </is>
      </c>
      <c r="D71" s="13" t="n">
        <v>150</v>
      </c>
      <c r="E71" s="14" t="n">
        <v>380</v>
      </c>
      <c r="F71" t="inlineStr">
        <is>
          <t>SUP015</t>
        </is>
      </c>
      <c r="G71" s="15">
        <f>IF(E71&lt;100, "CRITICAL", IF(E71&lt;300, "LOW", "OPTIMAL"))</f>
        <v/>
      </c>
      <c r="H71" s="14">
        <f>SUMIFS(Orders_Enriched!H:H, Orders_Enriched!C:C, A71)</f>
        <v/>
      </c>
      <c r="I71" s="13">
        <f>D71*H71</f>
        <v/>
      </c>
    </row>
    <row r="72">
      <c r="A72" t="inlineStr">
        <is>
          <t>PROD071</t>
        </is>
      </c>
      <c r="B72" t="inlineStr">
        <is>
          <t>Nescafe Classic Coffee 100g</t>
        </is>
      </c>
      <c r="C72" t="inlineStr">
        <is>
          <t>CAT008</t>
        </is>
      </c>
      <c r="D72" s="13" t="n">
        <v>315</v>
      </c>
      <c r="E72" s="14" t="n">
        <v>230</v>
      </c>
      <c r="F72" t="inlineStr">
        <is>
          <t>SUP006</t>
        </is>
      </c>
      <c r="G72" s="15">
        <f>IF(E72&lt;100, "CRITICAL", IF(E72&lt;300, "LOW", "OPTIMAL"))</f>
        <v/>
      </c>
      <c r="H72" s="14">
        <f>SUMIFS(Orders_Enriched!H:H, Orders_Enriched!C:C, A72)</f>
        <v/>
      </c>
      <c r="I72" s="13">
        <f>D72*H72</f>
        <v/>
      </c>
    </row>
    <row r="73">
      <c r="A73" t="inlineStr">
        <is>
          <t>PROD072</t>
        </is>
      </c>
      <c r="B73" t="inlineStr">
        <is>
          <t>Red Label Tea 500g</t>
        </is>
      </c>
      <c r="C73" t="inlineStr">
        <is>
          <t>CAT008</t>
        </is>
      </c>
      <c r="D73" s="13" t="n">
        <v>270</v>
      </c>
      <c r="E73" s="14" t="n">
        <v>330</v>
      </c>
      <c r="F73" t="inlineStr">
        <is>
          <t>SUP001</t>
        </is>
      </c>
      <c r="G73" s="15">
        <f>IF(E73&lt;100, "CRITICAL", IF(E73&lt;300, "LOW", "OPTIMAL"))</f>
        <v/>
      </c>
      <c r="H73" s="14">
        <f>SUMIFS(Orders_Enriched!H:H, Orders_Enriched!C:C, A73)</f>
        <v/>
      </c>
      <c r="I73" s="13">
        <f>D73*H73</f>
        <v/>
      </c>
    </row>
    <row r="74">
      <c r="A74" t="inlineStr">
        <is>
          <t>PROD073</t>
        </is>
      </c>
      <c r="B74" t="inlineStr">
        <is>
          <t>Balaji Wafers Simply Salted</t>
        </is>
      </c>
      <c r="C74" t="inlineStr">
        <is>
          <t>CAT006</t>
        </is>
      </c>
      <c r="D74" s="13" t="n">
        <v>20</v>
      </c>
      <c r="E74" s="14" t="n">
        <v>1200</v>
      </c>
      <c r="F74" t="inlineStr">
        <is>
          <t>SUP020</t>
        </is>
      </c>
      <c r="G74" s="15">
        <f>IF(E74&lt;100, "CRITICAL", IF(E74&lt;300, "LOW", "OPTIMAL"))</f>
        <v/>
      </c>
      <c r="H74" s="14">
        <f>SUMIFS(Orders_Enriched!H:H, Orders_Enriched!C:C, A74)</f>
        <v/>
      </c>
      <c r="I74" s="13">
        <f>D74*H74</f>
        <v/>
      </c>
    </row>
    <row r="75">
      <c r="A75" t="inlineStr">
        <is>
          <t>PROD074</t>
        </is>
      </c>
      <c r="B75" t="inlineStr">
        <is>
          <t>Thums Up 750ml PET Bottle</t>
        </is>
      </c>
      <c r="C75" t="inlineStr">
        <is>
          <t>CAT007</t>
        </is>
      </c>
      <c r="D75" s="13" t="n">
        <v>40</v>
      </c>
      <c r="E75" s="14" t="n">
        <v>610</v>
      </c>
      <c r="F75" t="inlineStr">
        <is>
          <t>SUP008</t>
        </is>
      </c>
      <c r="G75" s="15">
        <f>IF(E75&lt;100, "CRITICAL", IF(E75&lt;300, "LOW", "OPTIMAL"))</f>
        <v/>
      </c>
      <c r="H75" s="14">
        <f>SUMIFS(Orders_Enriched!H:H, Orders_Enriched!C:C, A75)</f>
        <v/>
      </c>
      <c r="I75" s="13">
        <f>D75*H75</f>
        <v/>
      </c>
    </row>
    <row r="76">
      <c r="A76" t="inlineStr">
        <is>
          <t>PROD075</t>
        </is>
      </c>
      <c r="B76" t="inlineStr">
        <is>
          <t>Real Mixed Fruit Juice 1L</t>
        </is>
      </c>
      <c r="C76" t="inlineStr">
        <is>
          <t>CAT007</t>
        </is>
      </c>
      <c r="D76" s="13" t="n">
        <v>135</v>
      </c>
      <c r="E76" s="14" t="n">
        <v>290</v>
      </c>
      <c r="F76" t="inlineStr">
        <is>
          <t>SUP039</t>
        </is>
      </c>
      <c r="G76" s="15">
        <f>IF(E76&lt;100, "CRITICAL", IF(E76&lt;300, "LOW", "OPTIMAL"))</f>
        <v/>
      </c>
      <c r="H76" s="14">
        <f>SUMIFS(Orders_Enriched!H:H, Orders_Enriched!C:C, A76)</f>
        <v/>
      </c>
      <c r="I76" s="13">
        <f>D76*H76</f>
        <v/>
      </c>
    </row>
    <row r="77">
      <c r="A77" t="inlineStr">
        <is>
          <t>PROD076</t>
        </is>
      </c>
      <c r="B77" t="inlineStr">
        <is>
          <t>Cadbury 5 Star 3D</t>
        </is>
      </c>
      <c r="C77" t="inlineStr">
        <is>
          <t>CAT025</t>
        </is>
      </c>
      <c r="D77" s="13" t="n">
        <v>30</v>
      </c>
      <c r="E77" s="14" t="n">
        <v>880</v>
      </c>
      <c r="F77" t="inlineStr">
        <is>
          <t>SUP026</t>
        </is>
      </c>
      <c r="G77" s="15">
        <f>IF(E77&lt;100, "CRITICAL", IF(E77&lt;300, "LOW", "OPTIMAL"))</f>
        <v/>
      </c>
      <c r="H77" s="14">
        <f>SUMIFS(Orders_Enriched!H:H, Orders_Enriched!C:C, A77)</f>
        <v/>
      </c>
      <c r="I77" s="13">
        <f>D77*H77</f>
        <v/>
      </c>
    </row>
    <row r="78">
      <c r="A78" t="inlineStr">
        <is>
          <t>PROD077</t>
        </is>
      </c>
      <c r="B78" t="inlineStr">
        <is>
          <t>Good Day Cashew Cookies</t>
        </is>
      </c>
      <c r="C78" t="inlineStr">
        <is>
          <t>CAT025</t>
        </is>
      </c>
      <c r="D78" s="13" t="n">
        <v>40</v>
      </c>
      <c r="E78" s="14" t="n">
        <v>880</v>
      </c>
      <c r="F78" t="inlineStr">
        <is>
          <t>SUP005</t>
        </is>
      </c>
      <c r="G78" s="15">
        <f>IF(E78&lt;100, "CRITICAL", IF(E78&lt;300, "LOW", "OPTIMAL"))</f>
        <v/>
      </c>
      <c r="H78" s="14">
        <f>SUMIFS(Orders_Enriched!H:H, Orders_Enriched!C:C, A78)</f>
        <v/>
      </c>
      <c r="I78" s="13">
        <f>D78*H78</f>
        <v/>
      </c>
    </row>
    <row r="79">
      <c r="A79" t="inlineStr">
        <is>
          <t>PROD078</t>
        </is>
      </c>
      <c r="B79" t="inlineStr">
        <is>
          <t>Pears Pure &amp; Gentle Soap 125g</t>
        </is>
      </c>
      <c r="C79" t="inlineStr">
        <is>
          <t>CAT013</t>
        </is>
      </c>
      <c r="D79" s="13" t="n">
        <v>70</v>
      </c>
      <c r="E79" s="14" t="n">
        <v>680</v>
      </c>
      <c r="F79" t="inlineStr">
        <is>
          <t>SUP001</t>
        </is>
      </c>
      <c r="G79" s="15">
        <f>IF(E79&lt;100, "CRITICAL", IF(E79&lt;300, "LOW", "OPTIMAL"))</f>
        <v/>
      </c>
      <c r="H79" s="14">
        <f>SUMIFS(Orders_Enriched!H:H, Orders_Enriched!C:C, A79)</f>
        <v/>
      </c>
      <c r="I79" s="13">
        <f>D79*H79</f>
        <v/>
      </c>
    </row>
    <row r="80">
      <c r="A80" t="inlineStr">
        <is>
          <t>PROD079</t>
        </is>
      </c>
      <c r="B80" t="inlineStr">
        <is>
          <t>Head &amp; Shoulders Anti-Dandruff Shampoo</t>
        </is>
      </c>
      <c r="C80" t="inlineStr">
        <is>
          <t>CAT014</t>
        </is>
      </c>
      <c r="D80" s="13" t="n">
        <v>195</v>
      </c>
      <c r="E80" s="14" t="n">
        <v>430</v>
      </c>
      <c r="F80" t="inlineStr">
        <is>
          <t>SUP002</t>
        </is>
      </c>
      <c r="G80" s="15">
        <f>IF(E80&lt;100, "CRITICAL", IF(E80&lt;300, "LOW", "OPTIMAL"))</f>
        <v/>
      </c>
      <c r="H80" s="14">
        <f>SUMIFS(Orders_Enriched!H:H, Orders_Enriched!C:C, A80)</f>
        <v/>
      </c>
      <c r="I80" s="13">
        <f>D80*H80</f>
        <v/>
      </c>
    </row>
    <row r="81">
      <c r="A81" t="inlineStr">
        <is>
          <t>PROD080</t>
        </is>
      </c>
      <c r="B81" t="inlineStr">
        <is>
          <t>Close Up Everfresh Toothpaste 150g</t>
        </is>
      </c>
      <c r="C81" t="inlineStr">
        <is>
          <t>CAT015</t>
        </is>
      </c>
      <c r="D81" s="13" t="n">
        <v>85</v>
      </c>
      <c r="E81" s="14" t="n">
        <v>580</v>
      </c>
      <c r="F81" t="inlineStr">
        <is>
          <t>SUP001</t>
        </is>
      </c>
      <c r="G81" s="15">
        <f>IF(E81&lt;100, "CRITICAL", IF(E81&lt;300, "LOW", "OPTIMAL"))</f>
        <v/>
      </c>
      <c r="H81" s="14">
        <f>SUMIFS(Orders_Enriched!H:H, Orders_Enriched!C:C, A81)</f>
        <v/>
      </c>
      <c r="I81" s="13">
        <f>D81*H81</f>
        <v/>
      </c>
    </row>
    <row r="82">
      <c r="A82" t="inlineStr">
        <is>
          <t>PROD081</t>
        </is>
      </c>
      <c r="B82" t="inlineStr">
        <is>
          <t>Pril Dishwash Bar</t>
        </is>
      </c>
      <c r="C82" t="inlineStr">
        <is>
          <t>CAT017</t>
        </is>
      </c>
      <c r="D82" s="13" t="n">
        <v>25</v>
      </c>
      <c r="E82" s="14" t="n">
        <v>680</v>
      </c>
      <c r="F82" t="inlineStr">
        <is>
          <t>SUP001</t>
        </is>
      </c>
      <c r="G82" s="15">
        <f>IF(E82&lt;100, "CRITICAL", IF(E82&lt;300, "LOW", "OPTIMAL"))</f>
        <v/>
      </c>
      <c r="H82" s="14">
        <f>SUMIFS(Orders_Enriched!H:H, Orders_Enriched!C:C, A82)</f>
        <v/>
      </c>
      <c r="I82" s="13">
        <f>D82*H82</f>
        <v/>
      </c>
    </row>
    <row r="83">
      <c r="A83" t="inlineStr">
        <is>
          <t>PROD082</t>
        </is>
      </c>
      <c r="B83" t="inlineStr">
        <is>
          <t>Dettol Antiseptic Liquid 250ml</t>
        </is>
      </c>
      <c r="C83" t="inlineStr">
        <is>
          <t>CAT018</t>
        </is>
      </c>
      <c r="D83" s="13" t="n">
        <v>110</v>
      </c>
      <c r="E83" s="14" t="n">
        <v>480</v>
      </c>
      <c r="F83" t="inlineStr">
        <is>
          <t>SUP029</t>
        </is>
      </c>
      <c r="G83" s="15">
        <f>IF(E83&lt;100, "CRITICAL", IF(E83&lt;300, "LOW", "OPTIMAL"))</f>
        <v/>
      </c>
      <c r="H83" s="14">
        <f>SUMIFS(Orders_Enriched!H:H, Orders_Enriched!C:C, A83)</f>
        <v/>
      </c>
      <c r="I83" s="13">
        <f>D83*H83</f>
        <v/>
      </c>
    </row>
    <row r="84">
      <c r="A84" t="inlineStr">
        <is>
          <t>PROD083</t>
        </is>
      </c>
      <c r="B84" t="inlineStr">
        <is>
          <t>All Out Ultra Refill</t>
        </is>
      </c>
      <c r="C84" t="inlineStr">
        <is>
          <t>CAT018</t>
        </is>
      </c>
      <c r="D84" s="13" t="n">
        <v>75</v>
      </c>
      <c r="E84" s="14" t="n">
        <v>480</v>
      </c>
      <c r="F84" t="inlineStr">
        <is>
          <t>SUP030</t>
        </is>
      </c>
      <c r="G84" s="15">
        <f>IF(E84&lt;100, "CRITICAL", IF(E84&lt;300, "LOW", "OPTIMAL"))</f>
        <v/>
      </c>
      <c r="H84" s="14">
        <f>SUMIFS(Orders_Enriched!H:H, Orders_Enriched!C:C, A84)</f>
        <v/>
      </c>
      <c r="I84" s="13">
        <f>D84*H84</f>
        <v/>
      </c>
    </row>
    <row r="85">
      <c r="A85" t="inlineStr">
        <is>
          <t>PROD084</t>
        </is>
      </c>
      <c r="B85" t="inlineStr">
        <is>
          <t>ITC Master Chef Frozen Peas 500g</t>
        </is>
      </c>
      <c r="C85" t="inlineStr">
        <is>
          <t>CAT020</t>
        </is>
      </c>
      <c r="D85" s="13" t="n">
        <v>125</v>
      </c>
      <c r="E85" s="14" t="n">
        <v>280</v>
      </c>
      <c r="F85" t="inlineStr">
        <is>
          <t>SUP003</t>
        </is>
      </c>
      <c r="G85" s="15">
        <f>IF(E85&lt;100, "CRITICAL", IF(E85&lt;300, "LOW", "OPTIMAL"))</f>
        <v/>
      </c>
      <c r="H85" s="14">
        <f>SUMIFS(Orders_Enriched!H:H, Orders_Enriched!C:C, A85)</f>
        <v/>
      </c>
      <c r="I85" s="13">
        <f>D85*H85</f>
        <v/>
      </c>
    </row>
    <row r="86">
      <c r="A86" t="inlineStr">
        <is>
          <t>PROD085</t>
        </is>
      </c>
      <c r="B86" t="inlineStr">
        <is>
          <t>Maggi Hot &amp; Sweet Ketchup</t>
        </is>
      </c>
      <c r="C86" t="inlineStr">
        <is>
          <t>CAT012</t>
        </is>
      </c>
      <c r="D86" s="13" t="n">
        <v>125</v>
      </c>
      <c r="E86" s="14" t="n">
        <v>430</v>
      </c>
      <c r="F86" t="inlineStr">
        <is>
          <t>SUP006</t>
        </is>
      </c>
      <c r="G86" s="15">
        <f>IF(E86&lt;100, "CRITICAL", IF(E86&lt;300, "LOW", "OPTIMAL"))</f>
        <v/>
      </c>
      <c r="H86" s="14">
        <f>SUMIFS(Orders_Enriched!H:H, Orders_Enriched!C:C, A86)</f>
        <v/>
      </c>
      <c r="I86" s="13">
        <f>D86*H86</f>
        <v/>
      </c>
    </row>
    <row r="87">
      <c r="A87" t="inlineStr">
        <is>
          <t>PROD086</t>
        </is>
      </c>
      <c r="B87" t="inlineStr">
        <is>
          <t>Catch Turmeric Powder 200g</t>
        </is>
      </c>
      <c r="C87" t="inlineStr">
        <is>
          <t>CAT023</t>
        </is>
      </c>
      <c r="D87" s="13" t="n">
        <v>65</v>
      </c>
      <c r="E87" s="14" t="n">
        <v>680</v>
      </c>
      <c r="F87" t="inlineStr">
        <is>
          <t>SUP015</t>
        </is>
      </c>
      <c r="G87" s="15">
        <f>IF(E87&lt;100, "CRITICAL", IF(E87&lt;300, "LOW", "OPTIMAL"))</f>
        <v/>
      </c>
      <c r="H87" s="14">
        <f>SUMIFS(Orders_Enriched!H:H, Orders_Enriched!C:C, A87)</f>
        <v/>
      </c>
      <c r="I87" s="13">
        <f>D87*H87</f>
        <v/>
      </c>
    </row>
    <row r="88">
      <c r="A88" t="inlineStr">
        <is>
          <t>PROD087</t>
        </is>
      </c>
      <c r="B88" t="inlineStr">
        <is>
          <t>Saffola Masala Oats Classic Masala</t>
        </is>
      </c>
      <c r="C88" t="inlineStr">
        <is>
          <t>CAT024</t>
        </is>
      </c>
      <c r="D88" s="13" t="n">
        <v>160</v>
      </c>
      <c r="E88" s="14" t="n">
        <v>280</v>
      </c>
      <c r="F88" t="inlineStr">
        <is>
          <t>SUP040</t>
        </is>
      </c>
      <c r="G88" s="15">
        <f>IF(E88&lt;100, "CRITICAL", IF(E88&lt;300, "LOW", "OPTIMAL"))</f>
        <v/>
      </c>
      <c r="H88" s="14">
        <f>SUMIFS(Orders_Enriched!H:H, Orders_Enriched!C:C, A88)</f>
        <v/>
      </c>
      <c r="I88" s="13">
        <f>D88*H88</f>
        <v/>
      </c>
    </row>
    <row r="89">
      <c r="A89" t="inlineStr">
        <is>
          <t>PROD088</t>
        </is>
      </c>
      <c r="B89" t="inlineStr">
        <is>
          <t>MamyPoko Pants Diapers L-size 44</t>
        </is>
      </c>
      <c r="C89" t="inlineStr">
        <is>
          <t>CAT021</t>
        </is>
      </c>
      <c r="D89" s="13" t="n">
        <v>750</v>
      </c>
      <c r="E89" s="14" t="n">
        <v>130</v>
      </c>
      <c r="F89" t="inlineStr">
        <is>
          <t>SUP002</t>
        </is>
      </c>
      <c r="G89" s="15">
        <f>IF(E89&lt;100, "CRITICAL", IF(E89&lt;300, "LOW", "OPTIMAL"))</f>
        <v/>
      </c>
      <c r="H89" s="14">
        <f>SUMIFS(Orders_Enriched!H:H, Orders_Enriched!C:C, A89)</f>
        <v/>
      </c>
      <c r="I89" s="13">
        <f>D89*H89</f>
        <v/>
      </c>
    </row>
    <row r="90">
      <c r="A90" t="inlineStr">
        <is>
          <t>PROD089</t>
        </is>
      </c>
      <c r="B90" t="inlineStr">
        <is>
          <t>Whiskas Adult Cat Food Tuna 1.2kg</t>
        </is>
      </c>
      <c r="C90" t="inlineStr">
        <is>
          <t>CAT022</t>
        </is>
      </c>
      <c r="D90" s="13" t="n">
        <v>550</v>
      </c>
      <c r="E90" s="14" t="n">
        <v>90</v>
      </c>
      <c r="F90" t="inlineStr">
        <is>
          <t>SUP048</t>
        </is>
      </c>
      <c r="G90" s="15">
        <f>IF(E90&lt;100, "CRITICAL", IF(E90&lt;300, "LOW", "OPTIMAL"))</f>
        <v/>
      </c>
      <c r="H90" s="14">
        <f>SUMIFS(Orders_Enriched!H:H, Orders_Enriched!C:C, A90)</f>
        <v/>
      </c>
      <c r="I90" s="13">
        <f>D90*H90</f>
        <v/>
      </c>
    </row>
    <row r="91">
      <c r="A91" t="inlineStr">
        <is>
          <t>PROD090</t>
        </is>
      </c>
      <c r="B91" t="inlineStr">
        <is>
          <t>Fresh Green Chilli 100g</t>
        </is>
      </c>
      <c r="C91" t="inlineStr">
        <is>
          <t>CAT002</t>
        </is>
      </c>
      <c r="D91" s="13" t="n">
        <v>10</v>
      </c>
      <c r="E91" s="14" t="n">
        <v>650</v>
      </c>
      <c r="F91" t="inlineStr">
        <is>
          <t>SUP049</t>
        </is>
      </c>
      <c r="G91" s="15">
        <f>IF(E91&lt;100, "CRITICAL", IF(E91&lt;300, "LOW", "OPTIMAL"))</f>
        <v/>
      </c>
      <c r="H91" s="14">
        <f>SUMIFS(Orders_Enriched!H:H, Orders_Enriched!C:C, A91)</f>
        <v/>
      </c>
      <c r="I91" s="13">
        <f>D91*H91</f>
        <v/>
      </c>
    </row>
    <row r="92">
      <c r="A92" t="inlineStr">
        <is>
          <t>PROD091</t>
        </is>
      </c>
      <c r="B92" t="inlineStr">
        <is>
          <t>Amul Kool Kesar 200ml</t>
        </is>
      </c>
      <c r="C92" t="inlineStr">
        <is>
          <t>CAT007</t>
        </is>
      </c>
      <c r="D92" s="13" t="n">
        <v>25</v>
      </c>
      <c r="E92" s="14" t="n">
        <v>800</v>
      </c>
      <c r="F92" t="inlineStr">
        <is>
          <t>SUP004</t>
        </is>
      </c>
      <c r="G92" s="15">
        <f>IF(E92&lt;100, "CRITICAL", IF(E92&lt;300, "LOW", "OPTIMAL"))</f>
        <v/>
      </c>
      <c r="H92" s="14">
        <f>SUMIFS(Orders_Enriched!H:H, Orders_Enriched!C:C, A92)</f>
        <v/>
      </c>
      <c r="I92" s="13">
        <f>D92*H92</f>
        <v/>
      </c>
    </row>
    <row r="93">
      <c r="A93" t="inlineStr">
        <is>
          <t>PROD092</t>
        </is>
      </c>
      <c r="B93" t="inlineStr">
        <is>
          <t>Britannia Good Day Butter Cookies</t>
        </is>
      </c>
      <c r="C93" t="inlineStr">
        <is>
          <t>CAT025</t>
        </is>
      </c>
      <c r="D93" s="13" t="n">
        <v>20</v>
      </c>
      <c r="E93" s="14" t="n">
        <v>1000</v>
      </c>
      <c r="F93" t="inlineStr">
        <is>
          <t>SUP005</t>
        </is>
      </c>
      <c r="G93" s="15">
        <f>IF(E93&lt;100, "CRITICAL", IF(E93&lt;300, "LOW", "OPTIMAL"))</f>
        <v/>
      </c>
      <c r="H93" s="14">
        <f>SUMIFS(Orders_Enriched!H:H, Orders_Enriched!C:C, A93)</f>
        <v/>
      </c>
      <c r="I93" s="13">
        <f>D93*H93</f>
        <v/>
      </c>
    </row>
    <row r="94">
      <c r="A94" t="inlineStr">
        <is>
          <t>PROD093</t>
        </is>
      </c>
      <c r="B94" t="inlineStr">
        <is>
          <t>Yippee Magic Masala Noodles</t>
        </is>
      </c>
      <c r="C94" t="inlineStr">
        <is>
          <t>CAT019</t>
        </is>
      </c>
      <c r="D94" s="13" t="n">
        <v>14</v>
      </c>
      <c r="E94" s="14" t="n">
        <v>1150</v>
      </c>
      <c r="F94" t="inlineStr">
        <is>
          <t>SUP003</t>
        </is>
      </c>
      <c r="G94" s="15">
        <f>IF(E94&lt;100, "CRITICAL", IF(E94&lt;300, "LOW", "OPTIMAL"))</f>
        <v/>
      </c>
      <c r="H94" s="14">
        <f>SUMIFS(Orders_Enriched!H:H, Orders_Enriched!C:C, A94)</f>
        <v/>
      </c>
      <c r="I94" s="13">
        <f>D94*H94</f>
        <v/>
      </c>
    </row>
    <row r="95">
      <c r="A95" t="inlineStr">
        <is>
          <t>PROD094</t>
        </is>
      </c>
      <c r="B95" t="inlineStr">
        <is>
          <t>Red Bull Energy Drink 250ml</t>
        </is>
      </c>
      <c r="C95" t="inlineStr">
        <is>
          <t>CAT007</t>
        </is>
      </c>
      <c r="D95" s="13" t="n">
        <v>125</v>
      </c>
      <c r="E95" s="14" t="n">
        <v>400</v>
      </c>
      <c r="F95" t="inlineStr">
        <is>
          <t>SUP008</t>
        </is>
      </c>
      <c r="G95" s="15">
        <f>IF(E95&lt;100, "CRITICAL", IF(E95&lt;300, "LOW", "OPTIMAL"))</f>
        <v/>
      </c>
      <c r="H95" s="14">
        <f>SUMIFS(Orders_Enriched!H:H, Orders_Enriched!C:C, A95)</f>
        <v/>
      </c>
      <c r="I95" s="13">
        <f>D95*H95</f>
        <v/>
      </c>
    </row>
    <row r="96">
      <c r="A96" t="inlineStr">
        <is>
          <t>PROD095</t>
        </is>
      </c>
      <c r="B96" t="inlineStr">
        <is>
          <t>Uncle Chipps Spicy Treat</t>
        </is>
      </c>
      <c r="C96" t="inlineStr">
        <is>
          <t>CAT006</t>
        </is>
      </c>
      <c r="D96" s="13" t="n">
        <v>20</v>
      </c>
      <c r="E96" s="14" t="n">
        <v>1450</v>
      </c>
      <c r="F96" t="inlineStr">
        <is>
          <t>SUP009</t>
        </is>
      </c>
      <c r="G96" s="15">
        <f>IF(E96&lt;100, "CRITICAL", IF(E96&lt;300, "LOW", "OPTIMAL"))</f>
        <v/>
      </c>
      <c r="H96" s="14">
        <f>SUMIFS(Orders_Enriched!H:H, Orders_Enriched!C:C, A96)</f>
        <v/>
      </c>
      <c r="I96" s="13">
        <f>D96*H96</f>
        <v/>
      </c>
    </row>
    <row r="97">
      <c r="A97" t="inlineStr">
        <is>
          <t>PROD096</t>
        </is>
      </c>
      <c r="B97" t="inlineStr">
        <is>
          <t>Tide Plus Jasmine &amp; Rose 1kg</t>
        </is>
      </c>
      <c r="C97" t="inlineStr">
        <is>
          <t>CAT016</t>
        </is>
      </c>
      <c r="D97" s="13" t="n">
        <v>110</v>
      </c>
      <c r="E97" s="14" t="n">
        <v>390</v>
      </c>
      <c r="F97" t="inlineStr">
        <is>
          <t>SUP002</t>
        </is>
      </c>
      <c r="G97" s="15">
        <f>IF(E97&lt;100, "CRITICAL", IF(E97&lt;300, "LOW", "OPTIMAL"))</f>
        <v/>
      </c>
      <c r="H97" s="14">
        <f>SUMIFS(Orders_Enriched!H:H, Orders_Enriched!C:C, A97)</f>
        <v/>
      </c>
      <c r="I97" s="13">
        <f>D97*H97</f>
        <v/>
      </c>
    </row>
    <row r="98">
      <c r="A98" t="inlineStr">
        <is>
          <t>PROD097</t>
        </is>
      </c>
      <c r="B98" t="inlineStr">
        <is>
          <t>Sensodyne Fresh Gel Toothpaste 75g</t>
        </is>
      </c>
      <c r="C98" t="inlineStr">
        <is>
          <t>CAT015</t>
        </is>
      </c>
      <c r="D98" s="13" t="n">
        <v>130</v>
      </c>
      <c r="E98" s="14" t="n">
        <v>540</v>
      </c>
      <c r="F98" t="inlineStr">
        <is>
          <t>SUP001</t>
        </is>
      </c>
      <c r="G98" s="15">
        <f>IF(E98&lt;100, "CRITICAL", IF(E98&lt;300, "LOW", "OPTIMAL"))</f>
        <v/>
      </c>
      <c r="H98" s="14">
        <f>SUMIFS(Orders_Enriched!H:H, Orders_Enriched!C:C, A98)</f>
        <v/>
      </c>
      <c r="I98" s="13">
        <f>D98*H98</f>
        <v/>
      </c>
    </row>
    <row r="99">
      <c r="A99" t="inlineStr">
        <is>
          <t>PROD098</t>
        </is>
      </c>
      <c r="B99" t="inlineStr">
        <is>
          <t>Fresh Cucumber 500g</t>
        </is>
      </c>
      <c r="C99" t="inlineStr">
        <is>
          <t>CAT002</t>
        </is>
      </c>
      <c r="D99" s="13" t="n">
        <v>25</v>
      </c>
      <c r="E99" s="14" t="n">
        <v>760</v>
      </c>
      <c r="F99" t="inlineStr">
        <is>
          <t>SUP049</t>
        </is>
      </c>
      <c r="G99" s="15">
        <f>IF(E99&lt;100, "CRITICAL", IF(E99&lt;300, "LOW", "OPTIMAL"))</f>
        <v/>
      </c>
      <c r="H99" s="14">
        <f>SUMIFS(Orders_Enriched!H:H, Orders_Enriched!C:C, A99)</f>
        <v/>
      </c>
      <c r="I99" s="13">
        <f>D99*H99</f>
        <v/>
      </c>
    </row>
    <row r="100">
      <c r="A100" t="inlineStr">
        <is>
          <t>PROD099</t>
        </is>
      </c>
      <c r="B100" t="inlineStr">
        <is>
          <t>Fresh Guava 1kg</t>
        </is>
      </c>
      <c r="C100" t="inlineStr">
        <is>
          <t>CAT001</t>
        </is>
      </c>
      <c r="D100" s="13" t="n">
        <v>80</v>
      </c>
      <c r="E100" s="14" t="n">
        <v>560</v>
      </c>
      <c r="F100" t="inlineStr">
        <is>
          <t>SUP050</t>
        </is>
      </c>
      <c r="G100" s="15">
        <f>IF(E100&lt;100, "CRITICAL", IF(E100&lt;300, "LOW", "OPTIMAL"))</f>
        <v/>
      </c>
      <c r="H100" s="14">
        <f>SUMIFS(Orders_Enriched!H:H, Orders_Enriched!C:C, A100)</f>
        <v/>
      </c>
      <c r="I100" s="13">
        <f>D100*H100</f>
        <v/>
      </c>
    </row>
    <row r="101">
      <c r="A101" t="inlineStr">
        <is>
          <t>PROD100</t>
        </is>
      </c>
      <c r="B101" t="inlineStr">
        <is>
          <t>Amul Gold Full Cream Milk 500ml</t>
        </is>
      </c>
      <c r="C101" t="inlineStr">
        <is>
          <t>CAT003</t>
        </is>
      </c>
      <c r="D101" s="13" t="n">
        <v>33</v>
      </c>
      <c r="E101" s="14" t="n">
        <v>490</v>
      </c>
      <c r="F101" t="inlineStr">
        <is>
          <t>SUP004</t>
        </is>
      </c>
      <c r="G101" s="15">
        <f>IF(E101&lt;100, "CRITICAL", IF(E101&lt;300, "LOW", "OPTIMAL"))</f>
        <v/>
      </c>
      <c r="H101" s="14">
        <f>SUMIFS(Orders_Enriched!H:H, Orders_Enriched!C:C, A101)</f>
        <v/>
      </c>
      <c r="I101" s="13">
        <f>D101*H101</f>
        <v/>
      </c>
    </row>
    <row r="102">
      <c r="A102" t="inlineStr">
        <is>
          <t>PROD101</t>
        </is>
      </c>
      <c r="B102" t="inlineStr">
        <is>
          <t>English Oven Brown Bread</t>
        </is>
      </c>
      <c r="C102" t="inlineStr">
        <is>
          <t>CAT005</t>
        </is>
      </c>
      <c r="D102" s="13" t="n">
        <v>55</v>
      </c>
      <c r="E102" s="14" t="n">
        <v>270</v>
      </c>
      <c r="F102" t="inlineStr">
        <is>
          <t>SUP005</t>
        </is>
      </c>
      <c r="G102" s="15">
        <f>IF(E102&lt;100, "CRITICAL", IF(E102&lt;300, "LOW", "OPTIMAL"))</f>
        <v/>
      </c>
      <c r="H102" s="14">
        <f>SUMIFS(Orders_Enriched!H:H, Orders_Enriched!C:C, A102)</f>
        <v/>
      </c>
      <c r="I102" s="13">
        <f>D102*H102</f>
        <v/>
      </c>
    </row>
    <row r="103">
      <c r="A103" t="inlineStr">
        <is>
          <t>PROD102</t>
        </is>
      </c>
      <c r="B103" t="inlineStr">
        <is>
          <t>Patanjali Dant Kanti Toothpaste 100g</t>
        </is>
      </c>
      <c r="C103" t="inlineStr">
        <is>
          <t>CAT015</t>
        </is>
      </c>
      <c r="D103" s="13" t="n">
        <v>50</v>
      </c>
      <c r="E103" s="14" t="n">
        <v>650</v>
      </c>
      <c r="F103" t="inlineStr">
        <is>
          <t>SUP011</t>
        </is>
      </c>
      <c r="G103" s="15">
        <f>IF(E103&lt;100, "CRITICAL", IF(E103&lt;300, "LOW", "OPTIMAL"))</f>
        <v/>
      </c>
      <c r="H103" s="14">
        <f>SUMIFS(Orders_Enriched!H:H, Orders_Enriched!C:C, A103)</f>
        <v/>
      </c>
      <c r="I103" s="13">
        <f>D103*H103</f>
        <v/>
      </c>
    </row>
    <row r="104">
      <c r="A104" t="inlineStr">
        <is>
          <t>PROD103</t>
        </is>
      </c>
      <c r="B104" t="inlineStr">
        <is>
          <t>Parachute Coconut Oil 500ml</t>
        </is>
      </c>
      <c r="C104" t="inlineStr">
        <is>
          <t>CAT012</t>
        </is>
      </c>
      <c r="D104" s="13" t="n">
        <v>215</v>
      </c>
      <c r="E104" s="14" t="n">
        <v>400</v>
      </c>
      <c r="F104" t="inlineStr">
        <is>
          <t>SUP013</t>
        </is>
      </c>
      <c r="G104" s="15">
        <f>IF(E104&lt;100, "CRITICAL", IF(E104&lt;300, "LOW", "OPTIMAL"))</f>
        <v/>
      </c>
      <c r="H104" s="14">
        <f>SUMIFS(Orders_Enriched!H:H, Orders_Enriched!C:C, A104)</f>
        <v/>
      </c>
      <c r="I104" s="13">
        <f>D104*H104</f>
        <v/>
      </c>
    </row>
    <row r="105">
      <c r="A105" t="inlineStr">
        <is>
          <t>PROD104</t>
        </is>
      </c>
      <c r="B105" t="inlineStr">
        <is>
          <t>Dabur Honey 500g</t>
        </is>
      </c>
      <c r="C105" t="inlineStr">
        <is>
          <t>CAT012</t>
        </is>
      </c>
      <c r="D105" s="13" t="n">
        <v>220</v>
      </c>
      <c r="E105" s="14" t="n">
        <v>350</v>
      </c>
      <c r="F105" t="inlineStr">
        <is>
          <t>SUP012</t>
        </is>
      </c>
      <c r="G105" s="15">
        <f>IF(E105&lt;100, "CRITICAL", IF(E105&lt;300, "LOW", "OPTIMAL"))</f>
        <v/>
      </c>
      <c r="H105" s="14">
        <f>SUMIFS(Orders_Enriched!H:H, Orders_Enriched!C:C, A105)</f>
        <v/>
      </c>
      <c r="I105" s="13">
        <f>D105*H105</f>
        <v/>
      </c>
    </row>
    <row r="106">
      <c r="A106" t="inlineStr">
        <is>
          <t>PROD105</t>
        </is>
      </c>
      <c r="B106" t="inlineStr">
        <is>
          <t>Paper Boat Aamras Juice 200ml</t>
        </is>
      </c>
      <c r="C106" t="inlineStr">
        <is>
          <t>CAT007</t>
        </is>
      </c>
      <c r="D106" s="13" t="n">
        <v>30</v>
      </c>
      <c r="E106" s="14" t="n">
        <v>900</v>
      </c>
      <c r="F106" t="inlineStr">
        <is>
          <t>SUP009</t>
        </is>
      </c>
      <c r="G106" s="15">
        <f>IF(E106&lt;100, "CRITICAL", IF(E106&lt;300, "LOW", "OPTIMAL"))</f>
        <v/>
      </c>
      <c r="H106" s="14">
        <f>SUMIFS(Orders_Enriched!H:H, Orders_Enriched!C:C, A106)</f>
        <v/>
      </c>
      <c r="I106" s="13">
        <f>D106*H106</f>
        <v/>
      </c>
    </row>
    <row r="107">
      <c r="A107" t="inlineStr">
        <is>
          <t>PROD106</t>
        </is>
      </c>
      <c r="B107" t="inlineStr">
        <is>
          <t>Hide &amp; Seek Chocolate Chip Cookies</t>
        </is>
      </c>
      <c r="C107" t="inlineStr">
        <is>
          <t>CAT025</t>
        </is>
      </c>
      <c r="D107" s="13" t="n">
        <v>30</v>
      </c>
      <c r="E107" s="14" t="n">
        <v>950</v>
      </c>
      <c r="F107" t="inlineStr">
        <is>
          <t>SUP007</t>
        </is>
      </c>
      <c r="G107" s="15">
        <f>IF(E107&lt;100, "CRITICAL", IF(E107&lt;300, "LOW", "OPTIMAL"))</f>
        <v/>
      </c>
      <c r="H107" s="14">
        <f>SUMIFS(Orders_Enriched!H:H, Orders_Enriched!C:C, A107)</f>
        <v/>
      </c>
      <c r="I107" s="13">
        <f>D107*H107</f>
        <v/>
      </c>
    </row>
    <row r="108">
      <c r="A108" t="inlineStr">
        <is>
          <t>PROD107</t>
        </is>
      </c>
      <c r="B108" t="inlineStr">
        <is>
          <t>Rin Detergent Bar 250g</t>
        </is>
      </c>
      <c r="C108" t="inlineStr">
        <is>
          <t>CAT016</t>
        </is>
      </c>
      <c r="D108" s="13" t="n">
        <v>20</v>
      </c>
      <c r="E108" s="14" t="n">
        <v>800</v>
      </c>
      <c r="F108" t="inlineStr">
        <is>
          <t>SUP001</t>
        </is>
      </c>
      <c r="G108" s="15">
        <f>IF(E108&lt;100, "CRITICAL", IF(E108&lt;300, "LOW", "OPTIMAL"))</f>
        <v/>
      </c>
      <c r="H108" s="14">
        <f>SUMIFS(Orders_Enriched!H:H, Orders_Enriched!C:C, A108)</f>
        <v/>
      </c>
      <c r="I108" s="13">
        <f>D108*H108</f>
        <v/>
      </c>
    </row>
    <row r="109">
      <c r="A109" t="inlineStr">
        <is>
          <t>PROD108</t>
        </is>
      </c>
      <c r="B109" t="inlineStr">
        <is>
          <t>Santoor Sandal &amp; Turmeric Soap 125g</t>
        </is>
      </c>
      <c r="C109" t="inlineStr">
        <is>
          <t>CAT013</t>
        </is>
      </c>
      <c r="D109" s="13" t="n">
        <v>40</v>
      </c>
      <c r="E109" s="14" t="n">
        <v>750</v>
      </c>
      <c r="F109" t="inlineStr">
        <is>
          <t>SUP014</t>
        </is>
      </c>
      <c r="G109" s="15">
        <f>IF(E109&lt;100, "CRITICAL", IF(E109&lt;300, "LOW", "OPTIMAL"))</f>
        <v/>
      </c>
      <c r="H109" s="14">
        <f>SUMIFS(Orders_Enriched!H:H, Orders_Enriched!C:C, A109)</f>
        <v/>
      </c>
      <c r="I109" s="13">
        <f>D109*H109</f>
        <v/>
      </c>
    </row>
    <row r="110">
      <c r="A110" t="inlineStr">
        <is>
          <t>PROD109</t>
        </is>
      </c>
      <c r="B110" t="inlineStr">
        <is>
          <t>Clinic Plus Strong &amp; Long Shampoo 175ml</t>
        </is>
      </c>
      <c r="C110" t="inlineStr">
        <is>
          <t>CAT014</t>
        </is>
      </c>
      <c r="D110" s="13" t="n">
        <v>99</v>
      </c>
      <c r="E110" s="14" t="n">
        <v>500</v>
      </c>
      <c r="F110" t="inlineStr">
        <is>
          <t>SUP001</t>
        </is>
      </c>
      <c r="G110" s="15">
        <f>IF(E110&lt;100, "CRITICAL", IF(E110&lt;300, "LOW", "OPTIMAL"))</f>
        <v/>
      </c>
      <c r="H110" s="14">
        <f>SUMIFS(Orders_Enriched!H:H, Orders_Enriched!C:C, A110)</f>
        <v/>
      </c>
      <c r="I110" s="13">
        <f>D110*H110</f>
        <v/>
      </c>
    </row>
    <row r="111">
      <c r="A111" t="inlineStr">
        <is>
          <t>PROD110</t>
        </is>
      </c>
      <c r="B111" t="inlineStr">
        <is>
          <t>Vim Dishwash Bar Lemon</t>
        </is>
      </c>
      <c r="C111" t="inlineStr">
        <is>
          <t>CAT017</t>
        </is>
      </c>
      <c r="D111" s="13" t="n">
        <v>10</v>
      </c>
      <c r="E111" s="14" t="n">
        <v>1000</v>
      </c>
      <c r="F111" t="inlineStr">
        <is>
          <t>SUP044</t>
        </is>
      </c>
      <c r="G111" s="15">
        <f>IF(E111&lt;100, "CRITICAL", IF(E111&lt;300, "LOW", "OPTIMAL"))</f>
        <v/>
      </c>
      <c r="H111" s="14">
        <f>SUMIFS(Orders_Enriched!H:H, Orders_Enriched!C:C, A111)</f>
        <v/>
      </c>
      <c r="I111" s="13">
        <f>D111*H111</f>
        <v/>
      </c>
    </row>
    <row r="112">
      <c r="A112" t="inlineStr">
        <is>
          <t>PROD111</t>
        </is>
      </c>
      <c r="B112" t="inlineStr">
        <is>
          <t>Colin Glass Cleaner 500ml</t>
        </is>
      </c>
      <c r="C112" t="inlineStr">
        <is>
          <t>CAT018</t>
        </is>
      </c>
      <c r="D112" s="13" t="n">
        <v>96</v>
      </c>
      <c r="E112" s="14" t="n">
        <v>450</v>
      </c>
      <c r="F112" t="inlineStr">
        <is>
          <t>SUP029</t>
        </is>
      </c>
      <c r="G112" s="15">
        <f>IF(E112&lt;100, "CRITICAL", IF(E112&lt;300, "LOW", "OPTIMAL"))</f>
        <v/>
      </c>
      <c r="H112" s="14">
        <f>SUMIFS(Orders_Enriched!H:H, Orders_Enriched!C:C, A112)</f>
        <v/>
      </c>
      <c r="I112" s="13">
        <f>D112*H112</f>
        <v/>
      </c>
    </row>
    <row r="113">
      <c r="A113" t="inlineStr">
        <is>
          <t>PROD112</t>
        </is>
      </c>
      <c r="B113" t="inlineStr">
        <is>
          <t>Ganesh Bhel</t>
        </is>
      </c>
      <c r="C113" t="inlineStr">
        <is>
          <t>CAT006</t>
        </is>
      </c>
      <c r="D113" s="13" t="n">
        <v>45</v>
      </c>
      <c r="E113" s="14" t="n">
        <v>600</v>
      </c>
      <c r="F113" t="inlineStr">
        <is>
          <t>SUP019</t>
        </is>
      </c>
      <c r="G113" s="15">
        <f>IF(E113&lt;100, "CRITICAL", IF(E113&lt;300, "LOW", "OPTIMAL"))</f>
        <v/>
      </c>
      <c r="H113" s="14">
        <f>SUMIFS(Orders_Enriched!H:H, Orders_Enriched!C:C, A113)</f>
        <v/>
      </c>
      <c r="I113" s="13">
        <f>D113*H113</f>
        <v/>
      </c>
    </row>
    <row r="114">
      <c r="A114" t="inlineStr">
        <is>
          <t>PROD113</t>
        </is>
      </c>
      <c r="B114" t="inlineStr">
        <is>
          <t>Act II Popcorn Butter Lovers</t>
        </is>
      </c>
      <c r="C114" t="inlineStr">
        <is>
          <t>CAT006</t>
        </is>
      </c>
      <c r="D114" s="13" t="n">
        <v>30</v>
      </c>
      <c r="E114" s="14" t="n">
        <v>700</v>
      </c>
      <c r="F114" t="inlineStr">
        <is>
          <t>SUP003</t>
        </is>
      </c>
      <c r="G114" s="15">
        <f>IF(E114&lt;100, "CRITICAL", IF(E114&lt;300, "LOW", "OPTIMAL"))</f>
        <v/>
      </c>
      <c r="H114" s="14">
        <f>SUMIFS(Orders_Enriched!H:H, Orders_Enriched!C:C, A114)</f>
        <v/>
      </c>
      <c r="I114" s="13">
        <f>D114*H114</f>
        <v/>
      </c>
    </row>
    <row r="115">
      <c r="A115" t="inlineStr">
        <is>
          <t>PROD114</t>
        </is>
      </c>
      <c r="B115" t="inlineStr">
        <is>
          <t>Too Yumm Karare</t>
        </is>
      </c>
      <c r="C115" t="inlineStr">
        <is>
          <t>CAT006</t>
        </is>
      </c>
      <c r="D115" s="13" t="n">
        <v>20</v>
      </c>
      <c r="E115" s="14" t="n">
        <v>1300</v>
      </c>
      <c r="F115" t="inlineStr">
        <is>
          <t>SUP003</t>
        </is>
      </c>
      <c r="G115" s="15">
        <f>IF(E115&lt;100, "CRITICAL", IF(E115&lt;300, "LOW", "OPTIMAL"))</f>
        <v/>
      </c>
      <c r="H115" s="14">
        <f>SUMIFS(Orders_Enriched!H:H, Orders_Enriched!C:C, A115)</f>
        <v/>
      </c>
      <c r="I115" s="13">
        <f>D115*H115</f>
        <v/>
      </c>
    </row>
    <row r="116">
      <c r="A116" t="inlineStr">
        <is>
          <t>PROD115</t>
        </is>
      </c>
      <c r="B116" t="inlineStr">
        <is>
          <t>Hersheys Chocolate Syrup 623g</t>
        </is>
      </c>
      <c r="C116" t="inlineStr">
        <is>
          <t>CAT025</t>
        </is>
      </c>
      <c r="D116" s="13" t="n">
        <v>250</v>
      </c>
      <c r="E116" s="14" t="n">
        <v>300</v>
      </c>
      <c r="F116" t="inlineStr">
        <is>
          <t>SUP006</t>
        </is>
      </c>
      <c r="G116" s="15">
        <f>IF(E116&lt;100, "CRITICAL", IF(E116&lt;300, "LOW", "OPTIMAL"))</f>
        <v/>
      </c>
      <c r="H116" s="14">
        <f>SUMIFS(Orders_Enriched!H:H, Orders_Enriched!C:C, A116)</f>
        <v/>
      </c>
      <c r="I116" s="13">
        <f>D116*H116</f>
        <v/>
      </c>
    </row>
    <row r="117">
      <c r="A117" t="inlineStr">
        <is>
          <t>PROD116</t>
        </is>
      </c>
      <c r="B117" t="inlineStr">
        <is>
          <t>Weikfield Baking Powder 100g</t>
        </is>
      </c>
      <c r="C117" t="inlineStr">
        <is>
          <t>CAT025</t>
        </is>
      </c>
      <c r="D117" s="13" t="n">
        <v>40</v>
      </c>
      <c r="E117" s="14" t="n">
        <v>500</v>
      </c>
      <c r="F117" t="inlineStr">
        <is>
          <t>SUP005</t>
        </is>
      </c>
      <c r="G117" s="15">
        <f>IF(E117&lt;100, "CRITICAL", IF(E117&lt;300, "LOW", "OPTIMAL"))</f>
        <v/>
      </c>
      <c r="H117" s="14">
        <f>SUMIFS(Orders_Enriched!H:H, Orders_Enriched!C:C, A117)</f>
        <v/>
      </c>
      <c r="I117" s="13">
        <f>D117*H117</f>
        <v/>
      </c>
    </row>
    <row r="118">
      <c r="A118" t="inlineStr">
        <is>
          <t>PROD117</t>
        </is>
      </c>
      <c r="B118" t="inlineStr">
        <is>
          <t>Tata Sampann Besan 500g</t>
        </is>
      </c>
      <c r="C118" t="inlineStr">
        <is>
          <t>CAT009</t>
        </is>
      </c>
      <c r="D118" s="13" t="n">
        <v>65</v>
      </c>
      <c r="E118" s="14" t="n">
        <v>600</v>
      </c>
      <c r="F118" t="inlineStr">
        <is>
          <t>SUP015</t>
        </is>
      </c>
      <c r="G118" s="15">
        <f>IF(E118&lt;100, "CRITICAL", IF(E118&lt;300, "LOW", "OPTIMAL"))</f>
        <v/>
      </c>
      <c r="H118" s="14">
        <f>SUMIFS(Orders_Enriched!H:H, Orders_Enriched!C:C, A118)</f>
        <v/>
      </c>
      <c r="I118" s="13">
        <f>D118*H118</f>
        <v/>
      </c>
    </row>
    <row r="119">
      <c r="A119" t="inlineStr">
        <is>
          <t>PROD118</t>
        </is>
      </c>
      <c r="B119" t="inlineStr">
        <is>
          <t>Rajdhani Besan 1kg</t>
        </is>
      </c>
      <c r="C119" t="inlineStr">
        <is>
          <t>CAT009</t>
        </is>
      </c>
      <c r="D119" s="13" t="n">
        <v>120</v>
      </c>
      <c r="E119" s="14" t="n">
        <v>550</v>
      </c>
      <c r="F119" t="inlineStr">
        <is>
          <t>SUP010</t>
        </is>
      </c>
      <c r="G119" s="15">
        <f>IF(E119&lt;100, "CRITICAL", IF(E119&lt;300, "LOW", "OPTIMAL"))</f>
        <v/>
      </c>
      <c r="H119" s="14">
        <f>SUMIFS(Orders_Enriched!H:H, Orders_Enriched!C:C, A119)</f>
        <v/>
      </c>
      <c r="I119" s="13">
        <f>D119*H119</f>
        <v/>
      </c>
    </row>
    <row r="120">
      <c r="A120" t="inlineStr">
        <is>
          <t>PROD119</t>
        </is>
      </c>
      <c r="B120" t="inlineStr">
        <is>
          <t>Organic Tattva Brown Rice 1kg</t>
        </is>
      </c>
      <c r="C120" t="inlineStr">
        <is>
          <t>CAT010</t>
        </is>
      </c>
      <c r="D120" s="13" t="n">
        <v>150</v>
      </c>
      <c r="E120" s="14" t="n">
        <v>250</v>
      </c>
      <c r="F120" t="inlineStr">
        <is>
          <t>SUP017</t>
        </is>
      </c>
      <c r="G120" s="15">
        <f>IF(E120&lt;100, "CRITICAL", IF(E120&lt;300, "LOW", "OPTIMAL"))</f>
        <v/>
      </c>
      <c r="H120" s="14">
        <f>SUMIFS(Orders_Enriched!H:H, Orders_Enriched!C:C, A120)</f>
        <v/>
      </c>
      <c r="I120" s="13">
        <f>D120*H120</f>
        <v/>
      </c>
    </row>
    <row r="121">
      <c r="A121" t="inlineStr">
        <is>
          <t>PROD120</t>
        </is>
      </c>
      <c r="B121" t="inlineStr">
        <is>
          <t>24 Mantra Organic Toor Dal 1kg</t>
        </is>
      </c>
      <c r="C121" t="inlineStr">
        <is>
          <t>CAT011</t>
        </is>
      </c>
      <c r="D121" s="13" t="n">
        <v>210</v>
      </c>
      <c r="E121" s="14" t="n">
        <v>350</v>
      </c>
      <c r="F121" t="inlineStr">
        <is>
          <t>SUP017</t>
        </is>
      </c>
      <c r="G121" s="15">
        <f>IF(E121&lt;100, "CRITICAL", IF(E121&lt;300, "LOW", "OPTIMAL"))</f>
        <v/>
      </c>
      <c r="H121" s="14">
        <f>SUMIFS(Orders_Enriched!H:H, Orders_Enriched!C:C, A121)</f>
        <v/>
      </c>
      <c r="I121" s="13">
        <f>D121*H121</f>
        <v/>
      </c>
    </row>
    <row r="122">
      <c r="A122" t="inlineStr">
        <is>
          <t>PROD121</t>
        </is>
      </c>
      <c r="B122" t="inlineStr">
        <is>
          <t>Epigamia Greek Yogurt Strawberry</t>
        </is>
      </c>
      <c r="C122" t="inlineStr">
        <is>
          <t>CAT003</t>
        </is>
      </c>
      <c r="D122" s="13" t="n">
        <v>45</v>
      </c>
      <c r="E122" s="14" t="n">
        <v>400</v>
      </c>
      <c r="F122" t="inlineStr">
        <is>
          <t>SUP031</t>
        </is>
      </c>
      <c r="G122" s="15">
        <f>IF(E122&lt;100, "CRITICAL", IF(E122&lt;300, "LOW", "OPTIMAL"))</f>
        <v/>
      </c>
      <c r="H122" s="14">
        <f>SUMIFS(Orders_Enriched!H:H, Orders_Enriched!C:C, A122)</f>
        <v/>
      </c>
      <c r="I122" s="13">
        <f>D122*H122</f>
        <v/>
      </c>
    </row>
    <row r="123">
      <c r="A123" t="inlineStr">
        <is>
          <t>PROD122</t>
        </is>
      </c>
      <c r="B123" t="inlineStr">
        <is>
          <t>The Whole Truth Protein Bar</t>
        </is>
      </c>
      <c r="C123" t="inlineStr">
        <is>
          <t>CAT024</t>
        </is>
      </c>
      <c r="D123" s="13" t="n">
        <v>100</v>
      </c>
      <c r="E123" s="14" t="n">
        <v>300</v>
      </c>
      <c r="F123" t="inlineStr">
        <is>
          <t>SUP017</t>
        </is>
      </c>
      <c r="G123" s="15">
        <f>IF(E123&lt;100, "CRITICAL", IF(E123&lt;300, "LOW", "OPTIMAL"))</f>
        <v/>
      </c>
      <c r="H123" s="14">
        <f>SUMIFS(Orders_Enriched!H:H, Orders_Enriched!C:C, A123)</f>
        <v/>
      </c>
      <c r="I123" s="13">
        <f>D123*H123</f>
        <v/>
      </c>
    </row>
    <row r="124">
      <c r="A124" t="inlineStr">
        <is>
          <t>PROD123</t>
        </is>
      </c>
      <c r="B124" t="inlineStr">
        <is>
          <t>Raw Pressery Cold Pressed Juice 250ml</t>
        </is>
      </c>
      <c r="C124" t="inlineStr">
        <is>
          <t>CAT007</t>
        </is>
      </c>
      <c r="D124" s="13" t="n">
        <v>150</v>
      </c>
      <c r="E124" s="14" t="n">
        <v>200</v>
      </c>
      <c r="F124" t="inlineStr">
        <is>
          <t>SUP038</t>
        </is>
      </c>
      <c r="G124" s="15">
        <f>IF(E124&lt;100, "CRITICAL", IF(E124&lt;300, "LOW", "OPTIMAL"))</f>
        <v/>
      </c>
      <c r="H124" s="14">
        <f>SUMIFS(Orders_Enriched!H:H, Orders_Enriched!C:C, A124)</f>
        <v/>
      </c>
      <c r="I124" s="13">
        <f>D124*H124</f>
        <v/>
      </c>
    </row>
    <row r="125">
      <c r="A125" t="inlineStr">
        <is>
          <t>PROD124</t>
        </is>
      </c>
      <c r="B125" t="inlineStr">
        <is>
          <t>Sleepy Owl Cold Brew Coffee</t>
        </is>
      </c>
      <c r="C125" t="inlineStr">
        <is>
          <t>CAT008</t>
        </is>
      </c>
      <c r="D125" s="13" t="n">
        <v>120</v>
      </c>
      <c r="E125" s="14" t="n">
        <v>250</v>
      </c>
      <c r="F125" t="inlineStr">
        <is>
          <t>SUP015</t>
        </is>
      </c>
      <c r="G125" s="15">
        <f>IF(E125&lt;100, "CRITICAL", IF(E125&lt;300, "LOW", "OPTIMAL"))</f>
        <v/>
      </c>
      <c r="H125" s="14">
        <f>SUMIFS(Orders_Enriched!H:H, Orders_Enriched!C:C, A125)</f>
        <v/>
      </c>
      <c r="I125" s="13">
        <f>D125*H125</f>
        <v/>
      </c>
    </row>
    <row r="126">
      <c r="A126" t="inlineStr">
        <is>
          <t>PROD125</t>
        </is>
      </c>
      <c r="B126" t="inlineStr">
        <is>
          <t>Blue Tokai Coffee Roasters</t>
        </is>
      </c>
      <c r="C126" t="inlineStr">
        <is>
          <t>CAT008</t>
        </is>
      </c>
      <c r="D126" s="13" t="n">
        <v>450</v>
      </c>
      <c r="E126" s="14" t="n">
        <v>150</v>
      </c>
      <c r="F126" t="inlineStr">
        <is>
          <t>SUP015</t>
        </is>
      </c>
      <c r="G126" s="15">
        <f>IF(E126&lt;100, "CRITICAL", IF(E126&lt;300, "LOW", "OPTIMAL"))</f>
        <v/>
      </c>
      <c r="H126" s="14">
        <f>SUMIFS(Orders_Enriched!H:H, Orders_Enriched!C:C, A126)</f>
        <v/>
      </c>
      <c r="I126" s="13">
        <f>D126*H126</f>
        <v/>
      </c>
    </row>
    <row r="127">
      <c r="A127" t="inlineStr">
        <is>
          <t>PROD126</t>
        </is>
      </c>
      <c r="B127" t="inlineStr">
        <is>
          <t>L'Oreal Paris Total Repair 5 Shampoo</t>
        </is>
      </c>
      <c r="C127" t="inlineStr">
        <is>
          <t>CAT014</t>
        </is>
      </c>
      <c r="D127" s="13" t="n">
        <v>165</v>
      </c>
      <c r="E127" s="14" t="n">
        <v>400</v>
      </c>
      <c r="F127" t="inlineStr">
        <is>
          <t>SUP002</t>
        </is>
      </c>
      <c r="G127" s="15">
        <f>IF(E127&lt;100, "CRITICAL", IF(E127&lt;300, "LOW", "OPTIMAL"))</f>
        <v/>
      </c>
      <c r="H127" s="14">
        <f>SUMIFS(Orders_Enriched!H:H, Orders_Enriched!C:C, A127)</f>
        <v/>
      </c>
      <c r="I127" s="13">
        <f>D127*H127</f>
        <v/>
      </c>
    </row>
    <row r="128">
      <c r="A128" t="inlineStr">
        <is>
          <t>PROD127</t>
        </is>
      </c>
      <c r="B128" t="inlineStr">
        <is>
          <t>Nivea Men Fresh Active Deodorant</t>
        </is>
      </c>
      <c r="C128" t="inlineStr">
        <is>
          <t>CAT013</t>
        </is>
      </c>
      <c r="D128" s="13" t="n">
        <v>199</v>
      </c>
      <c r="E128" s="14" t="n">
        <v>500</v>
      </c>
      <c r="F128" t="inlineStr">
        <is>
          <t>SUP002</t>
        </is>
      </c>
      <c r="G128" s="15">
        <f>IF(E128&lt;100, "CRITICAL", IF(E128&lt;300, "LOW", "OPTIMAL"))</f>
        <v/>
      </c>
      <c r="H128" s="14">
        <f>SUMIFS(Orders_Enriched!H:H, Orders_Enriched!C:C, A128)</f>
        <v/>
      </c>
      <c r="I128" s="13">
        <f>D128*H128</f>
        <v/>
      </c>
    </row>
    <row r="129">
      <c r="A129" t="inlineStr">
        <is>
          <t>PROD128</t>
        </is>
      </c>
      <c r="B129" t="inlineStr">
        <is>
          <t>Gillette Mach3 Turbo Razor</t>
        </is>
      </c>
      <c r="C129" t="inlineStr">
        <is>
          <t>CAT013</t>
        </is>
      </c>
      <c r="D129" s="13" t="n">
        <v>299</v>
      </c>
      <c r="E129" s="14" t="n">
        <v>300</v>
      </c>
      <c r="F129" t="inlineStr">
        <is>
          <t>SUP002</t>
        </is>
      </c>
      <c r="G129" s="15">
        <f>IF(E129&lt;100, "CRITICAL", IF(E129&lt;300, "LOW", "OPTIMAL"))</f>
        <v/>
      </c>
      <c r="H129" s="14">
        <f>SUMIFS(Orders_Enriched!H:H, Orders_Enriched!C:C, A129)</f>
        <v/>
      </c>
      <c r="I129" s="13">
        <f>D129*H129</f>
        <v/>
      </c>
    </row>
    <row r="130">
      <c r="A130" t="inlineStr">
        <is>
          <t>PROD129</t>
        </is>
      </c>
      <c r="B130" t="inlineStr">
        <is>
          <t>Veet Hair Removal Cream</t>
        </is>
      </c>
      <c r="C130" t="inlineStr">
        <is>
          <t>CAT013</t>
        </is>
      </c>
      <c r="D130" s="13" t="n">
        <v>80</v>
      </c>
      <c r="E130" s="14" t="n">
        <v>450</v>
      </c>
      <c r="F130" t="inlineStr">
        <is>
          <t>SUP029</t>
        </is>
      </c>
      <c r="G130" s="15">
        <f>IF(E130&lt;100, "CRITICAL", IF(E130&lt;300, "LOW", "OPTIMAL"))</f>
        <v/>
      </c>
      <c r="H130" s="14">
        <f>SUMIFS(Orders_Enriched!H:H, Orders_Enriched!C:C, A130)</f>
        <v/>
      </c>
      <c r="I130" s="13">
        <f>D130*H130</f>
        <v/>
      </c>
    </row>
    <row r="131">
      <c r="A131" t="inlineStr">
        <is>
          <t>PROD130</t>
        </is>
      </c>
      <c r="B131" t="inlineStr">
        <is>
          <t>Stayfree Secure XL Wings 20 pads</t>
        </is>
      </c>
      <c r="C131" t="inlineStr">
        <is>
          <t>CAT013</t>
        </is>
      </c>
      <c r="D131" s="13" t="n">
        <v>90</v>
      </c>
      <c r="E131" s="14" t="n">
        <v>550</v>
      </c>
      <c r="F131" t="inlineStr">
        <is>
          <t>SUP028</t>
        </is>
      </c>
      <c r="G131" s="15">
        <f>IF(E131&lt;100, "CRITICAL", IF(E131&lt;300, "LOW", "OPTIMAL"))</f>
        <v/>
      </c>
      <c r="H131" s="14">
        <f>SUMIFS(Orders_Enriched!H:H, Orders_Enriched!C:C, A131)</f>
        <v/>
      </c>
      <c r="I131" s="13">
        <f>D131*H131</f>
        <v/>
      </c>
    </row>
    <row r="132">
      <c r="A132" t="inlineStr">
        <is>
          <t>PROD131</t>
        </is>
      </c>
      <c r="B132" t="inlineStr">
        <is>
          <t>Himalaya Purifying Neem Face Wash</t>
        </is>
      </c>
      <c r="C132" t="inlineStr">
        <is>
          <t>CAT013</t>
        </is>
      </c>
      <c r="D132" s="13" t="n">
        <v>140</v>
      </c>
      <c r="E132" s="14" t="n">
        <v>600</v>
      </c>
      <c r="F132" t="inlineStr">
        <is>
          <t>SUP012</t>
        </is>
      </c>
      <c r="G132" s="15">
        <f>IF(E132&lt;100, "CRITICAL", IF(E132&lt;300, "LOW", "OPTIMAL"))</f>
        <v/>
      </c>
      <c r="H132" s="14">
        <f>SUMIFS(Orders_Enriched!H:H, Orders_Enriched!C:C, A132)</f>
        <v/>
      </c>
      <c r="I132" s="13">
        <f>D132*H132</f>
        <v/>
      </c>
    </row>
    <row r="133">
      <c r="A133" t="inlineStr">
        <is>
          <t>PROD132</t>
        </is>
      </c>
      <c r="B133" t="inlineStr">
        <is>
          <t>Vaseline Intensive Care Body Lotion</t>
        </is>
      </c>
      <c r="C133" t="inlineStr">
        <is>
          <t>CAT013</t>
        </is>
      </c>
      <c r="D133" s="13" t="n">
        <v>250</v>
      </c>
      <c r="E133" s="14" t="n">
        <v>350</v>
      </c>
      <c r="F133" t="inlineStr">
        <is>
          <t>SUP001</t>
        </is>
      </c>
      <c r="G133" s="15">
        <f>IF(E133&lt;100, "CRITICAL", IF(E133&lt;300, "LOW", "OPTIMAL"))</f>
        <v/>
      </c>
      <c r="H133" s="14">
        <f>SUMIFS(Orders_Enriched!H:H, Orders_Enriched!C:C, A133)</f>
        <v/>
      </c>
      <c r="I133" s="13">
        <f>D133*H133</f>
        <v/>
      </c>
    </row>
    <row r="134">
      <c r="A134" t="inlineStr">
        <is>
          <t>PROD133</t>
        </is>
      </c>
      <c r="B134" t="inlineStr">
        <is>
          <t>Borges Olive Oil Extra Light 1L</t>
        </is>
      </c>
      <c r="C134" t="inlineStr">
        <is>
          <t>CAT012</t>
        </is>
      </c>
      <c r="D134" s="13" t="n">
        <v>950</v>
      </c>
      <c r="E134" s="14" t="n">
        <v>200</v>
      </c>
      <c r="F134" t="inlineStr">
        <is>
          <t>SUP010</t>
        </is>
      </c>
      <c r="G134" s="15">
        <f>IF(E134&lt;100, "CRITICAL", IF(E134&lt;300, "LOW", "OPTIMAL"))</f>
        <v/>
      </c>
      <c r="H134" s="14">
        <f>SUMIFS(Orders_Enriched!H:H, Orders_Enriched!C:C, A134)</f>
        <v/>
      </c>
      <c r="I134" s="13">
        <f>D134*H134</f>
        <v/>
      </c>
    </row>
    <row r="135">
      <c r="A135" t="inlineStr">
        <is>
          <t>PROD134</t>
        </is>
      </c>
      <c r="B135" t="inlineStr">
        <is>
          <t>Figaro Olive Oil 500ml</t>
        </is>
      </c>
      <c r="C135" t="inlineStr">
        <is>
          <t>CAT012</t>
        </is>
      </c>
      <c r="D135" s="13" t="n">
        <v>550</v>
      </c>
      <c r="E135" s="14" t="n">
        <v>250</v>
      </c>
      <c r="F135" t="inlineStr">
        <is>
          <t>SUP010</t>
        </is>
      </c>
      <c r="G135" s="15">
        <f>IF(E135&lt;100, "CRITICAL", IF(E135&lt;300, "LOW", "OPTIMAL"))</f>
        <v/>
      </c>
      <c r="H135" s="14">
        <f>SUMIFS(Orders_Enriched!H:H, Orders_Enriched!C:C, A135)</f>
        <v/>
      </c>
      <c r="I135" s="13">
        <f>D135*H135</f>
        <v/>
      </c>
    </row>
    <row r="136">
      <c r="A136" t="inlineStr">
        <is>
          <t>PROD135</t>
        </is>
      </c>
      <c r="B136" t="inlineStr">
        <is>
          <t>Del Monte Penne Pasta 500g</t>
        </is>
      </c>
      <c r="C136" t="inlineStr">
        <is>
          <t>CAT019</t>
        </is>
      </c>
      <c r="D136" s="13" t="n">
        <v>120</v>
      </c>
      <c r="E136" s="14" t="n">
        <v>400</v>
      </c>
      <c r="F136" t="inlineStr">
        <is>
          <t>SUP010</t>
        </is>
      </c>
      <c r="G136" s="15">
        <f>IF(E136&lt;100, "CRITICAL", IF(E136&lt;300, "LOW", "OPTIMAL"))</f>
        <v/>
      </c>
      <c r="H136" s="14">
        <f>SUMIFS(Orders_Enriched!H:H, Orders_Enriched!C:C, A136)</f>
        <v/>
      </c>
      <c r="I136" s="13">
        <f>D136*H136</f>
        <v/>
      </c>
    </row>
    <row r="137">
      <c r="A137" t="inlineStr">
        <is>
          <t>PROD136</t>
        </is>
      </c>
      <c r="B137" t="inlineStr">
        <is>
          <t>Veeba Pasta &amp; Pizza Sauce</t>
        </is>
      </c>
      <c r="C137" t="inlineStr">
        <is>
          <t>CAT019</t>
        </is>
      </c>
      <c r="D137" s="13" t="n">
        <v>99</v>
      </c>
      <c r="E137" s="14" t="n">
        <v>350</v>
      </c>
      <c r="F137" t="inlineStr">
        <is>
          <t>SUP010</t>
        </is>
      </c>
      <c r="G137" s="15">
        <f>IF(E137&lt;100, "CRITICAL", IF(E137&lt;300, "LOW", "OPTIMAL"))</f>
        <v/>
      </c>
      <c r="H137" s="14">
        <f>SUMIFS(Orders_Enriched!H:H, Orders_Enriched!C:C, A137)</f>
        <v/>
      </c>
      <c r="I137" s="13">
        <f>D137*H137</f>
        <v/>
      </c>
    </row>
    <row r="138">
      <c r="A138" t="inlineStr">
        <is>
          <t>PROD137</t>
        </is>
      </c>
      <c r="B138" t="inlineStr">
        <is>
          <t>Ching's Secret Schezwan Chutney</t>
        </is>
      </c>
      <c r="C138" t="inlineStr">
        <is>
          <t>CAT012</t>
        </is>
      </c>
      <c r="D138" s="13" t="n">
        <v>85</v>
      </c>
      <c r="E138" s="14" t="n">
        <v>500</v>
      </c>
      <c r="F138" t="inlineStr">
        <is>
          <t>SUP003</t>
        </is>
      </c>
      <c r="G138" s="15">
        <f>IF(E138&lt;100, "CRITICAL", IF(E138&lt;300, "LOW", "OPTIMAL"))</f>
        <v/>
      </c>
      <c r="H138" s="14">
        <f>SUMIFS(Orders_Enriched!H:H, Orders_Enriched!C:C, A138)</f>
        <v/>
      </c>
      <c r="I138" s="13">
        <f>D138*H138</f>
        <v/>
      </c>
    </row>
    <row r="139">
      <c r="A139" t="inlineStr">
        <is>
          <t>PROD138</t>
        </is>
      </c>
      <c r="B139" t="inlineStr">
        <is>
          <t>Knorr Classic Tomato Soup</t>
        </is>
      </c>
      <c r="C139" t="inlineStr">
        <is>
          <t>CAT019</t>
        </is>
      </c>
      <c r="D139" s="13" t="n">
        <v>60</v>
      </c>
      <c r="E139" s="14" t="n">
        <v>600</v>
      </c>
      <c r="F139" t="inlineStr">
        <is>
          <t>SUP001</t>
        </is>
      </c>
      <c r="G139" s="15">
        <f>IF(E139&lt;100, "CRITICAL", IF(E139&lt;300, "LOW", "OPTIMAL"))</f>
        <v/>
      </c>
      <c r="H139" s="14">
        <f>SUMIFS(Orders_Enriched!H:H, Orders_Enriched!C:C, A139)</f>
        <v/>
      </c>
      <c r="I139" s="13">
        <f>D139*H139</f>
        <v/>
      </c>
    </row>
    <row r="140">
      <c r="A140" t="inlineStr">
        <is>
          <t>PROD139</t>
        </is>
      </c>
      <c r="B140" t="inlineStr">
        <is>
          <t>Amul Dark Chocolate 150g</t>
        </is>
      </c>
      <c r="C140" t="inlineStr">
        <is>
          <t>CAT025</t>
        </is>
      </c>
      <c r="D140" s="13" t="n">
        <v>120</v>
      </c>
      <c r="E140" s="14" t="n">
        <v>450</v>
      </c>
      <c r="F140" t="inlineStr">
        <is>
          <t>SUP004</t>
        </is>
      </c>
      <c r="G140" s="15">
        <f>IF(E140&lt;100, "CRITICAL", IF(E140&lt;300, "LOW", "OPTIMAL"))</f>
        <v/>
      </c>
      <c r="H140" s="14">
        <f>SUMIFS(Orders_Enriched!H:H, Orders_Enriched!C:C, A140)</f>
        <v/>
      </c>
      <c r="I140" s="13">
        <f>D140*H140</f>
        <v/>
      </c>
    </row>
    <row r="141">
      <c r="A141" t="inlineStr">
        <is>
          <t>PROD140</t>
        </is>
      </c>
      <c r="B141" t="inlineStr">
        <is>
          <t>Lindt Excellence 90% Cocoa</t>
        </is>
      </c>
      <c r="C141" t="inlineStr">
        <is>
          <t>CAT025</t>
        </is>
      </c>
      <c r="D141" s="13" t="n">
        <v>450</v>
      </c>
      <c r="E141" s="14" t="n">
        <v>150</v>
      </c>
      <c r="F141" t="inlineStr">
        <is>
          <t>SUP006</t>
        </is>
      </c>
      <c r="G141" s="15">
        <f>IF(E141&lt;100, "CRITICAL", IF(E141&lt;300, "LOW", "OPTIMAL"))</f>
        <v/>
      </c>
      <c r="H141" s="14">
        <f>SUMIFS(Orders_Enriched!H:H, Orders_Enriched!C:C, A141)</f>
        <v/>
      </c>
      <c r="I141" s="13">
        <f>D141*H141</f>
        <v/>
      </c>
    </row>
    <row r="142">
      <c r="A142" t="inlineStr">
        <is>
          <t>PROD141</t>
        </is>
      </c>
      <c r="B142" t="inlineStr">
        <is>
          <t>Fresh Broccoli 1pc</t>
        </is>
      </c>
      <c r="C142" t="inlineStr">
        <is>
          <t>CAT002</t>
        </is>
      </c>
      <c r="D142" s="13" t="n">
        <v>70</v>
      </c>
      <c r="E142" s="14" t="n">
        <v>300</v>
      </c>
      <c r="F142" t="inlineStr">
        <is>
          <t>SUP049</t>
        </is>
      </c>
      <c r="G142" s="15">
        <f>IF(E142&lt;100, "CRITICAL", IF(E142&lt;300, "LOW", "OPTIMAL"))</f>
        <v/>
      </c>
      <c r="H142" s="14">
        <f>SUMIFS(Orders_Enriched!H:H, Orders_Enriched!C:C, A142)</f>
        <v/>
      </c>
      <c r="I142" s="13">
        <f>D142*H142</f>
        <v/>
      </c>
    </row>
    <row r="143">
      <c r="A143" t="inlineStr">
        <is>
          <t>PROD142</t>
        </is>
      </c>
      <c r="B143" t="inlineStr">
        <is>
          <t>Zespri SunGold Kiwifruit 3pc</t>
        </is>
      </c>
      <c r="C143" t="inlineStr">
        <is>
          <t>CAT001</t>
        </is>
      </c>
      <c r="D143" s="13" t="n">
        <v>150</v>
      </c>
      <c r="E143" s="14" t="n">
        <v>250</v>
      </c>
      <c r="F143" t="inlineStr">
        <is>
          <t>SUP050</t>
        </is>
      </c>
      <c r="G143" s="15">
        <f>IF(E143&lt;100, "CRITICAL", IF(E143&lt;300, "LOW", "OPTIMAL"))</f>
        <v/>
      </c>
      <c r="H143" s="14">
        <f>SUMIFS(Orders_Enriched!H:H, Orders_Enriched!C:C, A143)</f>
        <v/>
      </c>
      <c r="I143" s="13">
        <f>D143*H143</f>
        <v/>
      </c>
    </row>
    <row r="144">
      <c r="A144" t="inlineStr">
        <is>
          <t>PROD143</t>
        </is>
      </c>
      <c r="B144" t="inlineStr">
        <is>
          <t>Imported Avocado 1pc</t>
        </is>
      </c>
      <c r="C144" t="inlineStr">
        <is>
          <t>CAT001</t>
        </is>
      </c>
      <c r="D144" s="13" t="n">
        <v>250</v>
      </c>
      <c r="E144" s="14" t="n">
        <v>200</v>
      </c>
      <c r="F144" t="inlineStr">
        <is>
          <t>SUP050</t>
        </is>
      </c>
      <c r="G144" s="15">
        <f>IF(E144&lt;100, "CRITICAL", IF(E144&lt;300, "LOW", "OPTIMAL"))</f>
        <v/>
      </c>
      <c r="H144" s="14">
        <f>SUMIFS(Orders_Enriched!H:H, Orders_Enriched!C:C, A144)</f>
        <v/>
      </c>
      <c r="I144" s="13">
        <f>D144*H144</f>
        <v/>
      </c>
    </row>
    <row r="145">
      <c r="A145" t="inlineStr">
        <is>
          <t>PROD144</t>
        </is>
      </c>
      <c r="B145" t="inlineStr">
        <is>
          <t>Drools Adult Dog Food Chicken &amp; Egg 3kg</t>
        </is>
      </c>
      <c r="C145" t="inlineStr">
        <is>
          <t>CAT022</t>
        </is>
      </c>
      <c r="D145" s="13" t="n">
        <v>650</v>
      </c>
      <c r="E145" s="14" t="n">
        <v>120</v>
      </c>
      <c r="F145" t="inlineStr">
        <is>
          <t>SUP048</t>
        </is>
      </c>
      <c r="G145" s="15">
        <f>IF(E145&lt;100, "CRITICAL", IF(E145&lt;300, "LOW", "OPTIMAL"))</f>
        <v/>
      </c>
      <c r="H145" s="14">
        <f>SUMIFS(Orders_Enriched!H:H, Orders_Enriched!C:C, A145)</f>
        <v/>
      </c>
      <c r="I145" s="13">
        <f>D145*H145</f>
        <v/>
      </c>
    </row>
    <row r="146">
      <c r="A146" t="inlineStr">
        <is>
          <t>PROD145</t>
        </is>
      </c>
      <c r="B146" t="inlineStr">
        <is>
          <t>Huggies Wonder Pants M-size 42</t>
        </is>
      </c>
      <c r="C146" t="inlineStr">
        <is>
          <t>CAT021</t>
        </is>
      </c>
      <c r="D146" s="13" t="n">
        <v>650</v>
      </c>
      <c r="E146" s="14" t="n">
        <v>160</v>
      </c>
      <c r="F146" t="inlineStr">
        <is>
          <t>SUP001</t>
        </is>
      </c>
      <c r="G146" s="15">
        <f>IF(E146&lt;100, "CRITICAL", IF(E146&lt;300, "LOW", "OPTIMAL"))</f>
        <v/>
      </c>
      <c r="H146" s="14">
        <f>SUMIFS(Orders_Enriched!H:H, Orders_Enriched!C:C, A146)</f>
        <v/>
      </c>
      <c r="I146" s="13">
        <f>D146*H146</f>
        <v/>
      </c>
    </row>
    <row r="147">
      <c r="A147" t="inlineStr">
        <is>
          <t>PROD146</t>
        </is>
      </c>
      <c r="B147" t="inlineStr">
        <is>
          <t>Himalaya Baby Wipes 72s</t>
        </is>
      </c>
      <c r="C147" t="inlineStr">
        <is>
          <t>CAT021</t>
        </is>
      </c>
      <c r="D147" s="13" t="n">
        <v>180</v>
      </c>
      <c r="E147" s="14" t="n">
        <v>300</v>
      </c>
      <c r="F147" t="inlineStr">
        <is>
          <t>SUP012</t>
        </is>
      </c>
      <c r="G147" s="15">
        <f>IF(E147&lt;100, "CRITICAL", IF(E147&lt;300, "LOW", "OPTIMAL"))</f>
        <v/>
      </c>
      <c r="H147" s="14">
        <f>SUMIFS(Orders_Enriched!H:H, Orders_Enriched!C:C, A147)</f>
        <v/>
      </c>
      <c r="I147" s="13">
        <f>D147*H147</f>
        <v/>
      </c>
    </row>
    <row r="148">
      <c r="A148" t="inlineStr">
        <is>
          <t>PROD147</t>
        </is>
      </c>
      <c r="B148" t="inlineStr">
        <is>
          <t>Comfort After Wash Fabric Conditioner</t>
        </is>
      </c>
      <c r="C148" t="inlineStr">
        <is>
          <t>CAT016</t>
        </is>
      </c>
      <c r="D148" s="13" t="n">
        <v>220</v>
      </c>
      <c r="E148" s="14" t="n">
        <v>350</v>
      </c>
      <c r="F148" t="inlineStr">
        <is>
          <t>SUP001</t>
        </is>
      </c>
      <c r="G148" s="15">
        <f>IF(E148&lt;100, "CRITICAL", IF(E148&lt;300, "LOW", "OPTIMAL"))</f>
        <v/>
      </c>
      <c r="H148" s="14">
        <f>SUMIFS(Orders_Enriched!H:H, Orders_Enriched!C:C, A148)</f>
        <v/>
      </c>
      <c r="I148" s="13">
        <f>D148*H148</f>
        <v/>
      </c>
    </row>
    <row r="149">
      <c r="A149" t="inlineStr">
        <is>
          <t>PROD148</t>
        </is>
      </c>
      <c r="B149" t="inlineStr">
        <is>
          <t>Vanish Oxi Action Stain Remover</t>
        </is>
      </c>
      <c r="C149" t="inlineStr">
        <is>
          <t>CAT016</t>
        </is>
      </c>
      <c r="D149" s="13" t="n">
        <v>150</v>
      </c>
      <c r="E149" s="14" t="n">
        <v>300</v>
      </c>
      <c r="F149" t="inlineStr">
        <is>
          <t>SUP029</t>
        </is>
      </c>
      <c r="G149" s="15">
        <f>IF(E149&lt;100, "CRITICAL", IF(E149&lt;300, "LOW", "OPTIMAL"))</f>
        <v/>
      </c>
      <c r="H149" s="14">
        <f>SUMIFS(Orders_Enriched!H:H, Orders_Enriched!C:C, A149)</f>
        <v/>
      </c>
      <c r="I149" s="13">
        <f>D149*H149</f>
        <v/>
      </c>
    </row>
    <row r="150">
      <c r="A150" t="inlineStr">
        <is>
          <t>PROD149</t>
        </is>
      </c>
      <c r="B150" t="inlineStr">
        <is>
          <t>Baygon All Insect Killer Spray</t>
        </is>
      </c>
      <c r="C150" t="inlineStr">
        <is>
          <t>CAT018</t>
        </is>
      </c>
      <c r="D150" s="13" t="n">
        <v>130</v>
      </c>
      <c r="E150" s="14" t="n">
        <v>400</v>
      </c>
      <c r="F150" t="inlineStr">
        <is>
          <t>SUP030</t>
        </is>
      </c>
      <c r="G150" s="15">
        <f>IF(E150&lt;100, "CRITICAL", IF(E150&lt;300, "LOW", "OPTIMAL"))</f>
        <v/>
      </c>
      <c r="H150" s="14">
        <f>SUMIFS(Orders_Enriched!H:H, Orders_Enriched!C:C, A150)</f>
        <v/>
      </c>
      <c r="I150" s="13">
        <f>D150*H150</f>
        <v/>
      </c>
    </row>
    <row r="151">
      <c r="A151" t="inlineStr">
        <is>
          <t>PROD150</t>
        </is>
      </c>
      <c r="B151" t="inlineStr">
        <is>
          <t>Duracell Ultra AA Batteries 4-pack</t>
        </is>
      </c>
      <c r="C151" t="inlineStr">
        <is>
          <t>CAT018</t>
        </is>
      </c>
      <c r="D151" s="13" t="n">
        <v>180</v>
      </c>
      <c r="E151" s="14" t="n">
        <v>500</v>
      </c>
      <c r="F151" t="inlineStr">
        <is>
          <t>SUP002</t>
        </is>
      </c>
      <c r="G151" s="15">
        <f>IF(E151&lt;100, "CRITICAL", IF(E151&lt;300, "LOW", "OPTIMAL"))</f>
        <v/>
      </c>
      <c r="H151" s="14">
        <f>SUMIFS(Orders_Enriched!H:H, Orders_Enriched!C:C, A151)</f>
        <v/>
      </c>
      <c r="I151" s="13">
        <f>D151*H151</f>
        <v/>
      </c>
    </row>
  </sheetData>
  <conditionalFormatting sqref="G2:G151">
    <cfRule type="cellIs" priority="1" operator="equal" dxfId="0">
      <formula>"CRITICAL"</formula>
    </cfRule>
    <cfRule type="cellIs" priority="2" operator="equal" dxfId="1">
      <formula>"LOW"</formula>
    </cfRule>
    <cfRule type="cellIs" priority="3" operator="equal" dxfId="2">
      <formula>"OPTIMAL"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0" customWidth="1" min="5" max="5"/>
    <col width="22" customWidth="1" min="6" max="6"/>
    <col width="22" customWidth="1" min="7" max="7"/>
    <col width="12" customWidth="1" min="8" max="8"/>
    <col width="14" customWidth="1" min="9" max="9"/>
    <col width="18" customWidth="1" min="10" max="10"/>
    <col width="22" customWidth="1" min="11" max="11"/>
    <col width="14" customWidth="1" min="12" max="12"/>
    <col width="18" customWidth="1" min="13" max="13"/>
    <col width="12" customWidth="1" min="14" max="14"/>
    <col width="14" customWidth="1" min="15" max="15"/>
    <col width="12" customWidth="1" min="16" max="16"/>
    <col width="17" customWidth="1" min="17" max="17"/>
    <col width="31" customWidth="1" min="18" max="18"/>
  </cols>
  <sheetData>
    <row r="1">
      <c r="A1" s="12" t="inlineStr">
        <is>
          <t>OrderID</t>
        </is>
      </c>
      <c r="B1" s="12" t="inlineStr">
        <is>
          <t>CustomerID</t>
        </is>
      </c>
      <c r="C1" s="12" t="inlineStr">
        <is>
          <t>ProductID</t>
        </is>
      </c>
      <c r="D1" s="12" t="inlineStr">
        <is>
          <t>StoreID</t>
        </is>
      </c>
      <c r="E1" s="12" t="inlineStr">
        <is>
          <t>DeliveryPartnerID</t>
        </is>
      </c>
      <c r="F1" s="12" t="inlineStr">
        <is>
          <t>OrderDate</t>
        </is>
      </c>
      <c r="G1" s="12" t="inlineStr">
        <is>
          <t>DeliveryDate</t>
        </is>
      </c>
      <c r="H1" s="12" t="inlineStr">
        <is>
          <t>Quantity</t>
        </is>
      </c>
      <c r="I1" s="12" t="inlineStr">
        <is>
          <t>TotalPrice</t>
        </is>
      </c>
      <c r="J1" s="12" t="inlineStr">
        <is>
          <t>DiscountApplied</t>
        </is>
      </c>
      <c r="K1" s="12" t="inlineStr">
        <is>
          <t>DeliveryTimeMinutes</t>
        </is>
      </c>
      <c r="L1" s="12" t="inlineStr">
        <is>
          <t>OrderStatus</t>
        </is>
      </c>
      <c r="M1" s="12" t="inlineStr">
        <is>
          <t>PaymentMethodID</t>
        </is>
      </c>
      <c r="N1" s="12" t="inlineStr">
        <is>
          <t>TimeOfDay</t>
        </is>
      </c>
      <c r="O1" s="12" t="inlineStr">
        <is>
          <t>ProductName</t>
        </is>
      </c>
      <c r="P1" s="12" t="inlineStr">
        <is>
          <t>UnitPrice</t>
        </is>
      </c>
      <c r="Q1" s="12" t="inlineStr">
        <is>
          <t>NetRevenue</t>
        </is>
      </c>
      <c r="R1" s="12" t="inlineStr">
        <is>
          <t>SLABreach</t>
        </is>
      </c>
    </row>
    <row r="2">
      <c r="A2" t="inlineStr">
        <is>
          <t>ORD00001</t>
        </is>
      </c>
      <c r="B2" t="inlineStr">
        <is>
          <t>CUST0041</t>
        </is>
      </c>
      <c r="C2" t="inlineStr">
        <is>
          <t>PROD002</t>
        </is>
      </c>
      <c r="D2" t="inlineStr">
        <is>
          <t>STORE038</t>
        </is>
      </c>
      <c r="E2" t="inlineStr">
        <is>
          <t>DP006</t>
        </is>
      </c>
      <c r="F2" t="inlineStr">
        <is>
          <t>2024-08-31 00:59:00</t>
        </is>
      </c>
      <c r="G2" t="inlineStr">
        <is>
          <t>2024-08-31 01:16:00</t>
        </is>
      </c>
      <c r="H2" s="14" t="n">
        <v>7</v>
      </c>
      <c r="I2" s="13" t="n">
        <v>767.51</v>
      </c>
      <c r="J2" s="13" t="n">
        <v>2.6</v>
      </c>
      <c r="K2" s="16" t="n">
        <v>17</v>
      </c>
      <c r="L2" t="inlineStr">
        <is>
          <t>Pending</t>
        </is>
      </c>
      <c r="M2" t="inlineStr">
        <is>
          <t>PAY04</t>
        </is>
      </c>
      <c r="N2" t="inlineStr">
        <is>
          <t>Morning</t>
        </is>
      </c>
      <c r="O2">
        <f>INDEX(Products_Catalog!$B$2:$B$151, MATCH(C2, Products_Catalog!$A$2:$A$151, 0))</f>
        <v/>
      </c>
      <c r="P2" s="13">
        <f>INDEX(Products_Catalog!$D$2:$D$151, MATCH(C2, Products_Catalog!$A$2:$A$151, 0))</f>
        <v/>
      </c>
      <c r="Q2" s="13">
        <f>I2-J2</f>
        <v/>
      </c>
      <c r="R2" s="15">
        <f>IF(K2&gt;20, "BREACH", "OK")</f>
        <v/>
      </c>
    </row>
    <row r="3">
      <c r="A3" t="inlineStr">
        <is>
          <t>ORD00002</t>
        </is>
      </c>
      <c r="B3" t="inlineStr">
        <is>
          <t>CUST0050</t>
        </is>
      </c>
      <c r="C3" t="inlineStr">
        <is>
          <t>PROD034</t>
        </is>
      </c>
      <c r="D3" t="inlineStr">
        <is>
          <t>STORE022</t>
        </is>
      </c>
      <c r="E3" t="inlineStr">
        <is>
          <t>DP047</t>
        </is>
      </c>
      <c r="F3" t="inlineStr">
        <is>
          <t>2024-08-25 06:35:00</t>
        </is>
      </c>
      <c r="G3" t="inlineStr">
        <is>
          <t>2024-08-25 06:53:00</t>
        </is>
      </c>
      <c r="H3" s="14" t="n">
        <v>6</v>
      </c>
      <c r="I3" s="13" t="n">
        <v>123.26</v>
      </c>
      <c r="J3" s="13" t="n">
        <v>81.61</v>
      </c>
      <c r="K3" s="16" t="n">
        <v>18</v>
      </c>
      <c r="L3" t="inlineStr">
        <is>
          <t>Shipped</t>
        </is>
      </c>
      <c r="M3" t="inlineStr">
        <is>
          <t>PAY02</t>
        </is>
      </c>
      <c r="N3" t="inlineStr">
        <is>
          <t>Morning</t>
        </is>
      </c>
      <c r="O3">
        <f>INDEX(Products_Catalog!$B$2:$B$151, MATCH(C3, Products_Catalog!$A$2:$A$151, 0))</f>
        <v/>
      </c>
      <c r="P3" s="13">
        <f>INDEX(Products_Catalog!$D$2:$D$151, MATCH(C3, Products_Catalog!$A$2:$A$151, 0))</f>
        <v/>
      </c>
      <c r="Q3" s="13">
        <f>I3-J3</f>
        <v/>
      </c>
      <c r="R3" s="15">
        <f>IF(K3&gt;20, "BREACH", "OK")</f>
        <v/>
      </c>
    </row>
    <row r="4">
      <c r="A4" t="inlineStr">
        <is>
          <t>ORD00003</t>
        </is>
      </c>
      <c r="B4" t="inlineStr">
        <is>
          <t>CUST0048</t>
        </is>
      </c>
      <c r="C4" t="inlineStr">
        <is>
          <t>PROD107</t>
        </is>
      </c>
      <c r="D4" t="inlineStr">
        <is>
          <t>STORE032</t>
        </is>
      </c>
      <c r="E4" t="inlineStr">
        <is>
          <t>DP030</t>
        </is>
      </c>
      <c r="F4" t="inlineStr">
        <is>
          <t>2024-12-15 01:02:00</t>
        </is>
      </c>
      <c r="G4" t="inlineStr">
        <is>
          <t>2024-12-15 01:21:00</t>
        </is>
      </c>
      <c r="H4" s="14" t="n">
        <v>10</v>
      </c>
      <c r="I4" s="13" t="n">
        <v>768.17</v>
      </c>
      <c r="J4" s="13" t="n">
        <v>81.81</v>
      </c>
      <c r="K4" s="16" t="n">
        <v>19</v>
      </c>
      <c r="L4" t="inlineStr">
        <is>
          <t>Cancelled</t>
        </is>
      </c>
      <c r="M4" t="inlineStr">
        <is>
          <t>PAY04</t>
        </is>
      </c>
      <c r="N4" t="inlineStr">
        <is>
          <t>Morning</t>
        </is>
      </c>
      <c r="O4">
        <f>INDEX(Products_Catalog!$B$2:$B$151, MATCH(C4, Products_Catalog!$A$2:$A$151, 0))</f>
        <v/>
      </c>
      <c r="P4" s="13">
        <f>INDEX(Products_Catalog!$D$2:$D$151, MATCH(C4, Products_Catalog!$A$2:$A$151, 0))</f>
        <v/>
      </c>
      <c r="Q4" s="13">
        <f>I4-J4</f>
        <v/>
      </c>
      <c r="R4" s="15">
        <f>IF(K4&gt;20, "BREACH", "OK")</f>
        <v/>
      </c>
    </row>
    <row r="5">
      <c r="A5" t="inlineStr">
        <is>
          <t>ORD00004</t>
        </is>
      </c>
      <c r="B5" t="inlineStr">
        <is>
          <t>CUST0047</t>
        </is>
      </c>
      <c r="C5" t="inlineStr">
        <is>
          <t>PROD013</t>
        </is>
      </c>
      <c r="D5" t="inlineStr">
        <is>
          <t>STORE002</t>
        </is>
      </c>
      <c r="E5" t="inlineStr">
        <is>
          <t>DP050</t>
        </is>
      </c>
      <c r="F5" t="inlineStr">
        <is>
          <t>2024-06-01 09:47:00</t>
        </is>
      </c>
      <c r="G5" t="inlineStr">
        <is>
          <t>2024-06-01 10:07:00</t>
        </is>
      </c>
      <c r="H5" s="14" t="n">
        <v>1</v>
      </c>
      <c r="I5" s="13" t="n">
        <v>192.11</v>
      </c>
      <c r="J5" s="13" t="n">
        <v>97.78</v>
      </c>
      <c r="K5" s="16" t="n">
        <v>20</v>
      </c>
      <c r="L5" t="inlineStr">
        <is>
          <t>Delivered</t>
        </is>
      </c>
      <c r="M5" t="inlineStr">
        <is>
          <t>PAY05</t>
        </is>
      </c>
      <c r="N5" t="inlineStr">
        <is>
          <t>Morning</t>
        </is>
      </c>
      <c r="O5">
        <f>INDEX(Products_Catalog!$B$2:$B$151, MATCH(C5, Products_Catalog!$A$2:$A$151, 0))</f>
        <v/>
      </c>
      <c r="P5" s="13">
        <f>INDEX(Products_Catalog!$D$2:$D$151, MATCH(C5, Products_Catalog!$A$2:$A$151, 0))</f>
        <v/>
      </c>
      <c r="Q5" s="13">
        <f>I5-J5</f>
        <v/>
      </c>
      <c r="R5" s="15">
        <f>IF(K5&gt;20, "BREACH", "OK")</f>
        <v/>
      </c>
    </row>
    <row r="6">
      <c r="A6" t="inlineStr">
        <is>
          <t>ORD00005</t>
        </is>
      </c>
      <c r="B6" t="inlineStr">
        <is>
          <t>CUST0047</t>
        </is>
      </c>
      <c r="C6" t="inlineStr">
        <is>
          <t>PROD073</t>
        </is>
      </c>
      <c r="D6" t="inlineStr">
        <is>
          <t>STORE009</t>
        </is>
      </c>
      <c r="E6" t="inlineStr">
        <is>
          <t>DP043</t>
        </is>
      </c>
      <c r="F6" t="inlineStr">
        <is>
          <t>2024-03-07 01:09:00</t>
        </is>
      </c>
      <c r="G6" t="inlineStr">
        <is>
          <t>2024-03-07 01:30:00</t>
        </is>
      </c>
      <c r="H6" s="14" t="n">
        <v>5</v>
      </c>
      <c r="I6" s="13" t="n">
        <v>248.37</v>
      </c>
      <c r="J6" s="13" t="n">
        <v>62.64</v>
      </c>
      <c r="K6" s="16" t="n">
        <v>21</v>
      </c>
      <c r="L6" t="inlineStr">
        <is>
          <t>Cancelled</t>
        </is>
      </c>
      <c r="M6" t="inlineStr">
        <is>
          <t>PAY02</t>
        </is>
      </c>
      <c r="N6" t="inlineStr">
        <is>
          <t>Morning</t>
        </is>
      </c>
      <c r="O6">
        <f>INDEX(Products_Catalog!$B$2:$B$151, MATCH(C6, Products_Catalog!$A$2:$A$151, 0))</f>
        <v/>
      </c>
      <c r="P6" s="13">
        <f>INDEX(Products_Catalog!$D$2:$D$151, MATCH(C6, Products_Catalog!$A$2:$A$151, 0))</f>
        <v/>
      </c>
      <c r="Q6" s="13">
        <f>I6-J6</f>
        <v/>
      </c>
      <c r="R6" s="15">
        <f>IF(K6&gt;20, "BREACH", "OK")</f>
        <v/>
      </c>
    </row>
    <row r="7">
      <c r="A7" t="inlineStr">
        <is>
          <t>ORD00006</t>
        </is>
      </c>
      <c r="B7" t="inlineStr">
        <is>
          <t>CUST0032</t>
        </is>
      </c>
      <c r="C7" t="inlineStr">
        <is>
          <t>PROD004</t>
        </is>
      </c>
      <c r="D7" t="inlineStr">
        <is>
          <t>STORE037</t>
        </is>
      </c>
      <c r="E7" t="inlineStr">
        <is>
          <t>DP043</t>
        </is>
      </c>
      <c r="F7" t="inlineStr">
        <is>
          <t>2024-06-09 10:51:00</t>
        </is>
      </c>
      <c r="G7" t="inlineStr">
        <is>
          <t>2024-06-09 11:13:00</t>
        </is>
      </c>
      <c r="H7" s="14" t="n">
        <v>7</v>
      </c>
      <c r="I7" s="13" t="n">
        <v>452.66</v>
      </c>
      <c r="J7" s="13" t="n">
        <v>82.48</v>
      </c>
      <c r="K7" s="16" t="n">
        <v>22</v>
      </c>
      <c r="L7" t="inlineStr">
        <is>
          <t>Pending</t>
        </is>
      </c>
      <c r="M7" t="inlineStr">
        <is>
          <t>PAY01</t>
        </is>
      </c>
      <c r="N7" t="inlineStr">
        <is>
          <t>Morning</t>
        </is>
      </c>
      <c r="O7">
        <f>INDEX(Products_Catalog!$B$2:$B$151, MATCH(C7, Products_Catalog!$A$2:$A$151, 0))</f>
        <v/>
      </c>
      <c r="P7" s="13">
        <f>INDEX(Products_Catalog!$D$2:$D$151, MATCH(C7, Products_Catalog!$A$2:$A$151, 0))</f>
        <v/>
      </c>
      <c r="Q7" s="13">
        <f>I7-J7</f>
        <v/>
      </c>
      <c r="R7" s="15">
        <f>IF(K7&gt;20, "BREACH", "OK")</f>
        <v/>
      </c>
    </row>
    <row r="8">
      <c r="A8" t="inlineStr">
        <is>
          <t>ORD00007</t>
        </is>
      </c>
      <c r="B8" t="inlineStr">
        <is>
          <t>CUST0039</t>
        </is>
      </c>
      <c r="C8" t="inlineStr">
        <is>
          <t>PROD023</t>
        </is>
      </c>
      <c r="D8" t="inlineStr">
        <is>
          <t>STORE006</t>
        </is>
      </c>
      <c r="E8" t="inlineStr">
        <is>
          <t>DP028</t>
        </is>
      </c>
      <c r="F8" t="inlineStr">
        <is>
          <t>2024-03-18 09:54:00</t>
        </is>
      </c>
      <c r="G8" t="inlineStr">
        <is>
          <t>2024-03-18 10:17:00</t>
        </is>
      </c>
      <c r="H8" s="14" t="n">
        <v>1</v>
      </c>
      <c r="I8" s="13" t="n">
        <v>537.41</v>
      </c>
      <c r="J8" s="13" t="n">
        <v>6.63</v>
      </c>
      <c r="K8" s="16" t="n">
        <v>23</v>
      </c>
      <c r="L8" t="inlineStr">
        <is>
          <t>Pending</t>
        </is>
      </c>
      <c r="M8" t="inlineStr">
        <is>
          <t>PAY01</t>
        </is>
      </c>
      <c r="N8" t="inlineStr">
        <is>
          <t>Morning</t>
        </is>
      </c>
      <c r="O8">
        <f>INDEX(Products_Catalog!$B$2:$B$151, MATCH(C8, Products_Catalog!$A$2:$A$151, 0))</f>
        <v/>
      </c>
      <c r="P8" s="13">
        <f>INDEX(Products_Catalog!$D$2:$D$151, MATCH(C8, Products_Catalog!$A$2:$A$151, 0))</f>
        <v/>
      </c>
      <c r="Q8" s="13">
        <f>I8-J8</f>
        <v/>
      </c>
      <c r="R8" s="15">
        <f>IF(K8&gt;20, "BREACH", "OK")</f>
        <v/>
      </c>
    </row>
    <row r="9">
      <c r="A9" t="inlineStr">
        <is>
          <t>ORD00008</t>
        </is>
      </c>
      <c r="B9" t="inlineStr">
        <is>
          <t>CUST0018</t>
        </is>
      </c>
      <c r="C9" t="inlineStr">
        <is>
          <t>PROD064</t>
        </is>
      </c>
      <c r="D9" t="inlineStr">
        <is>
          <t>STORE039</t>
        </is>
      </c>
      <c r="E9" t="inlineStr">
        <is>
          <t>DP020</t>
        </is>
      </c>
      <c r="F9" t="inlineStr">
        <is>
          <t>2024-12-09 06:43:00</t>
        </is>
      </c>
      <c r="G9" t="inlineStr">
        <is>
          <t>2024-12-09 07:07:00</t>
        </is>
      </c>
      <c r="H9" s="14" t="n">
        <v>1</v>
      </c>
      <c r="I9" s="13" t="n">
        <v>769.6</v>
      </c>
      <c r="J9" s="13" t="n">
        <v>58.42</v>
      </c>
      <c r="K9" s="16" t="n">
        <v>24</v>
      </c>
      <c r="L9" t="inlineStr">
        <is>
          <t>Delivered</t>
        </is>
      </c>
      <c r="M9" t="inlineStr">
        <is>
          <t>PAY05</t>
        </is>
      </c>
      <c r="N9" t="inlineStr">
        <is>
          <t>Morning</t>
        </is>
      </c>
      <c r="O9">
        <f>INDEX(Products_Catalog!$B$2:$B$151, MATCH(C9, Products_Catalog!$A$2:$A$151, 0))</f>
        <v/>
      </c>
      <c r="P9" s="13">
        <f>INDEX(Products_Catalog!$D$2:$D$151, MATCH(C9, Products_Catalog!$A$2:$A$151, 0))</f>
        <v/>
      </c>
      <c r="Q9" s="13">
        <f>I9-J9</f>
        <v/>
      </c>
      <c r="R9" s="15">
        <f>IF(K9&gt;20, "BREACH", "OK")</f>
        <v/>
      </c>
    </row>
    <row r="10">
      <c r="A10" t="inlineStr">
        <is>
          <t>ORD00009</t>
        </is>
      </c>
      <c r="B10" t="inlineStr">
        <is>
          <t>CUST0031</t>
        </is>
      </c>
      <c r="C10" t="inlineStr">
        <is>
          <t>PROD124</t>
        </is>
      </c>
      <c r="D10" t="inlineStr">
        <is>
          <t>STORE049</t>
        </is>
      </c>
      <c r="E10" t="inlineStr">
        <is>
          <t>DP039</t>
        </is>
      </c>
      <c r="F10" t="inlineStr">
        <is>
          <t>2024-04-17 01:38:00</t>
        </is>
      </c>
      <c r="G10" t="inlineStr">
        <is>
          <t>2024-04-17 02:03:00</t>
        </is>
      </c>
      <c r="H10" s="14" t="n">
        <v>4</v>
      </c>
      <c r="I10" s="13" t="n">
        <v>271.32</v>
      </c>
      <c r="J10" s="13" t="n">
        <v>60.54</v>
      </c>
      <c r="K10" s="16" t="n">
        <v>25</v>
      </c>
      <c r="L10" t="inlineStr">
        <is>
          <t>Delivered</t>
        </is>
      </c>
      <c r="M10" t="inlineStr">
        <is>
          <t>PAY03</t>
        </is>
      </c>
      <c r="N10" t="inlineStr">
        <is>
          <t>Morning</t>
        </is>
      </c>
      <c r="O10">
        <f>INDEX(Products_Catalog!$B$2:$B$151, MATCH(C10, Products_Catalog!$A$2:$A$151, 0))</f>
        <v/>
      </c>
      <c r="P10" s="13">
        <f>INDEX(Products_Catalog!$D$2:$D$151, MATCH(C10, Products_Catalog!$A$2:$A$151, 0))</f>
        <v/>
      </c>
      <c r="Q10" s="13">
        <f>I10-J10</f>
        <v/>
      </c>
      <c r="R10" s="15">
        <f>IF(K10&gt;20, "BREACH", "OK")</f>
        <v/>
      </c>
    </row>
    <row r="11">
      <c r="A11" t="inlineStr">
        <is>
          <t>ORD00010</t>
        </is>
      </c>
      <c r="B11" t="inlineStr">
        <is>
          <t>CUST0048</t>
        </is>
      </c>
      <c r="C11" t="inlineStr">
        <is>
          <t>PROD084</t>
        </is>
      </c>
      <c r="D11" t="inlineStr">
        <is>
          <t>STORE012</t>
        </is>
      </c>
      <c r="E11" t="inlineStr">
        <is>
          <t>DP046</t>
        </is>
      </c>
      <c r="F11" t="inlineStr">
        <is>
          <t>2024-09-22 06:04:00</t>
        </is>
      </c>
      <c r="G11" t="inlineStr">
        <is>
          <t>2024-09-22 06:30:00</t>
        </is>
      </c>
      <c r="H11" s="14" t="n">
        <v>5</v>
      </c>
      <c r="I11" s="13" t="n">
        <v>790.08</v>
      </c>
      <c r="J11" s="13" t="n">
        <v>67.06999999999999</v>
      </c>
      <c r="K11" s="16" t="n">
        <v>26</v>
      </c>
      <c r="L11" t="inlineStr">
        <is>
          <t>Pending</t>
        </is>
      </c>
      <c r="M11" t="inlineStr">
        <is>
          <t>PAY04</t>
        </is>
      </c>
      <c r="N11" t="inlineStr">
        <is>
          <t>Morning</t>
        </is>
      </c>
      <c r="O11">
        <f>INDEX(Products_Catalog!$B$2:$B$151, MATCH(C11, Products_Catalog!$A$2:$A$151, 0))</f>
        <v/>
      </c>
      <c r="P11" s="13">
        <f>INDEX(Products_Catalog!$D$2:$D$151, MATCH(C11, Products_Catalog!$A$2:$A$151, 0))</f>
        <v/>
      </c>
      <c r="Q11" s="13">
        <f>I11-J11</f>
        <v/>
      </c>
      <c r="R11" s="15">
        <f>IF(K11&gt;20, "BREACH", "OK")</f>
        <v/>
      </c>
    </row>
    <row r="12">
      <c r="A12" t="inlineStr">
        <is>
          <t>ORD00011</t>
        </is>
      </c>
      <c r="B12" t="inlineStr">
        <is>
          <t>CUST0033</t>
        </is>
      </c>
      <c r="C12" t="inlineStr">
        <is>
          <t>PROD066</t>
        </is>
      </c>
      <c r="D12" t="inlineStr">
        <is>
          <t>STORE043</t>
        </is>
      </c>
      <c r="E12" t="inlineStr">
        <is>
          <t>DP031</t>
        </is>
      </c>
      <c r="F12" t="inlineStr">
        <is>
          <t>2024-02-17 04:12:00</t>
        </is>
      </c>
      <c r="G12" t="inlineStr">
        <is>
          <t>2024-02-17 04:39:00</t>
        </is>
      </c>
      <c r="H12" s="14" t="n">
        <v>7</v>
      </c>
      <c r="I12" s="13" t="n">
        <v>693.96</v>
      </c>
      <c r="J12" s="13" t="n">
        <v>64.98</v>
      </c>
      <c r="K12" s="16" t="n">
        <v>27</v>
      </c>
      <c r="L12" t="inlineStr">
        <is>
          <t>Cancelled</t>
        </is>
      </c>
      <c r="M12" t="inlineStr">
        <is>
          <t>PAY01</t>
        </is>
      </c>
      <c r="N12" t="inlineStr">
        <is>
          <t>Morning</t>
        </is>
      </c>
      <c r="O12">
        <f>INDEX(Products_Catalog!$B$2:$B$151, MATCH(C12, Products_Catalog!$A$2:$A$151, 0))</f>
        <v/>
      </c>
      <c r="P12" s="13">
        <f>INDEX(Products_Catalog!$D$2:$D$151, MATCH(C12, Products_Catalog!$A$2:$A$151, 0))</f>
        <v/>
      </c>
      <c r="Q12" s="13">
        <f>I12-J12</f>
        <v/>
      </c>
      <c r="R12" s="15">
        <f>IF(K12&gt;20, "BREACH", "OK")</f>
        <v/>
      </c>
    </row>
    <row r="13">
      <c r="A13" t="inlineStr">
        <is>
          <t>ORD00012</t>
        </is>
      </c>
      <c r="B13" t="inlineStr">
        <is>
          <t>CUST0036</t>
        </is>
      </c>
      <c r="C13" t="inlineStr">
        <is>
          <t>PROD102</t>
        </is>
      </c>
      <c r="D13" t="inlineStr">
        <is>
          <t>STORE033</t>
        </is>
      </c>
      <c r="E13" t="inlineStr">
        <is>
          <t>DP017</t>
        </is>
      </c>
      <c r="F13" t="inlineStr">
        <is>
          <t>2024-04-21 10:40:00</t>
        </is>
      </c>
      <c r="G13" t="inlineStr">
        <is>
          <t>2024-04-21 11:08:00</t>
        </is>
      </c>
      <c r="H13" s="14" t="n">
        <v>5</v>
      </c>
      <c r="I13" s="13" t="n">
        <v>110.41</v>
      </c>
      <c r="J13" s="13" t="n">
        <v>3.71</v>
      </c>
      <c r="K13" s="16" t="n">
        <v>28</v>
      </c>
      <c r="L13" t="inlineStr">
        <is>
          <t>Delivered</t>
        </is>
      </c>
      <c r="M13" t="inlineStr">
        <is>
          <t>PAY03</t>
        </is>
      </c>
      <c r="N13" t="inlineStr">
        <is>
          <t>Morning</t>
        </is>
      </c>
      <c r="O13">
        <f>INDEX(Products_Catalog!$B$2:$B$151, MATCH(C13, Products_Catalog!$A$2:$A$151, 0))</f>
        <v/>
      </c>
      <c r="P13" s="13">
        <f>INDEX(Products_Catalog!$D$2:$D$151, MATCH(C13, Products_Catalog!$A$2:$A$151, 0))</f>
        <v/>
      </c>
      <c r="Q13" s="13">
        <f>I13-J13</f>
        <v/>
      </c>
      <c r="R13" s="15">
        <f>IF(K13&gt;20, "BREACH", "OK")</f>
        <v/>
      </c>
    </row>
    <row r="14">
      <c r="A14" t="inlineStr">
        <is>
          <t>ORD00013</t>
        </is>
      </c>
      <c r="B14" t="inlineStr">
        <is>
          <t>CUST0029</t>
        </is>
      </c>
      <c r="C14" t="inlineStr">
        <is>
          <t>PROD130</t>
        </is>
      </c>
      <c r="D14" t="inlineStr">
        <is>
          <t>STORE023</t>
        </is>
      </c>
      <c r="E14" t="inlineStr">
        <is>
          <t>DP012</t>
        </is>
      </c>
      <c r="F14" t="inlineStr">
        <is>
          <t>2024-07-26 01:26:00</t>
        </is>
      </c>
      <c r="G14" t="inlineStr">
        <is>
          <t>2024-07-26 01:55:00</t>
        </is>
      </c>
      <c r="H14" s="14" t="n">
        <v>9</v>
      </c>
      <c r="I14" s="13" t="n">
        <v>421.99</v>
      </c>
      <c r="J14" s="13" t="n">
        <v>87.89</v>
      </c>
      <c r="K14" s="16" t="n">
        <v>29</v>
      </c>
      <c r="L14" t="inlineStr">
        <is>
          <t>Shipped</t>
        </is>
      </c>
      <c r="M14" t="inlineStr">
        <is>
          <t>PAY01</t>
        </is>
      </c>
      <c r="N14" t="inlineStr">
        <is>
          <t>Morning</t>
        </is>
      </c>
      <c r="O14">
        <f>INDEX(Products_Catalog!$B$2:$B$151, MATCH(C14, Products_Catalog!$A$2:$A$151, 0))</f>
        <v/>
      </c>
      <c r="P14" s="13">
        <f>INDEX(Products_Catalog!$D$2:$D$151, MATCH(C14, Products_Catalog!$A$2:$A$151, 0))</f>
        <v/>
      </c>
      <c r="Q14" s="13">
        <f>I14-J14</f>
        <v/>
      </c>
      <c r="R14" s="15">
        <f>IF(K14&gt;20, "BREACH", "OK")</f>
        <v/>
      </c>
    </row>
    <row r="15">
      <c r="A15" t="inlineStr">
        <is>
          <t>ORD00014</t>
        </is>
      </c>
      <c r="B15" t="inlineStr">
        <is>
          <t>CUST0032</t>
        </is>
      </c>
      <c r="C15" t="inlineStr">
        <is>
          <t>PROD121</t>
        </is>
      </c>
      <c r="D15" t="inlineStr">
        <is>
          <t>STORE039</t>
        </is>
      </c>
      <c r="E15" t="inlineStr">
        <is>
          <t>DP028</t>
        </is>
      </c>
      <c r="F15" t="inlineStr">
        <is>
          <t>2024-11-07 03:52:00</t>
        </is>
      </c>
      <c r="G15" t="inlineStr">
        <is>
          <t>2024-11-07 04:22:00</t>
        </is>
      </c>
      <c r="H15" s="14" t="n">
        <v>4</v>
      </c>
      <c r="I15" s="13" t="n">
        <v>659.39</v>
      </c>
      <c r="J15" s="13" t="n">
        <v>43.53</v>
      </c>
      <c r="K15" s="16" t="n">
        <v>30</v>
      </c>
      <c r="L15" t="inlineStr">
        <is>
          <t>Shipped</t>
        </is>
      </c>
      <c r="M15" t="inlineStr">
        <is>
          <t>PAY04</t>
        </is>
      </c>
      <c r="N15" t="inlineStr">
        <is>
          <t>Morning</t>
        </is>
      </c>
      <c r="O15">
        <f>INDEX(Products_Catalog!$B$2:$B$151, MATCH(C15, Products_Catalog!$A$2:$A$151, 0))</f>
        <v/>
      </c>
      <c r="P15" s="13">
        <f>INDEX(Products_Catalog!$D$2:$D$151, MATCH(C15, Products_Catalog!$A$2:$A$151, 0))</f>
        <v/>
      </c>
      <c r="Q15" s="13">
        <f>I15-J15</f>
        <v/>
      </c>
      <c r="R15" s="15">
        <f>IF(K15&gt;20, "BREACH", "OK")</f>
        <v/>
      </c>
    </row>
    <row r="16">
      <c r="A16" t="inlineStr">
        <is>
          <t>ORD00015</t>
        </is>
      </c>
      <c r="B16" t="inlineStr">
        <is>
          <t>CUST0042</t>
        </is>
      </c>
      <c r="C16" t="inlineStr">
        <is>
          <t>PROD144</t>
        </is>
      </c>
      <c r="D16" t="inlineStr">
        <is>
          <t>STORE002</t>
        </is>
      </c>
      <c r="E16" t="inlineStr">
        <is>
          <t>DP010</t>
        </is>
      </c>
      <c r="F16" t="inlineStr">
        <is>
          <t>2024-06-24 09:53:00</t>
        </is>
      </c>
      <c r="G16" t="inlineStr">
        <is>
          <t>2024-06-24 10:03:00</t>
        </is>
      </c>
      <c r="H16" s="14" t="n">
        <v>3</v>
      </c>
      <c r="I16" s="13" t="n">
        <v>185.38</v>
      </c>
      <c r="J16" s="13" t="n">
        <v>42.96</v>
      </c>
      <c r="K16" s="16" t="n">
        <v>10</v>
      </c>
      <c r="L16" t="inlineStr">
        <is>
          <t>Shipped</t>
        </is>
      </c>
      <c r="M16" t="inlineStr">
        <is>
          <t>PAY03</t>
        </is>
      </c>
      <c r="N16" t="inlineStr">
        <is>
          <t>Morning</t>
        </is>
      </c>
      <c r="O16">
        <f>INDEX(Products_Catalog!$B$2:$B$151, MATCH(C16, Products_Catalog!$A$2:$A$151, 0))</f>
        <v/>
      </c>
      <c r="P16" s="13">
        <f>INDEX(Products_Catalog!$D$2:$D$151, MATCH(C16, Products_Catalog!$A$2:$A$151, 0))</f>
        <v/>
      </c>
      <c r="Q16" s="13">
        <f>I16-J16</f>
        <v/>
      </c>
      <c r="R16" s="15">
        <f>IF(K16&gt;20, "BREACH", "OK")</f>
        <v/>
      </c>
    </row>
    <row r="17">
      <c r="A17" t="inlineStr">
        <is>
          <t>ORD00016</t>
        </is>
      </c>
      <c r="B17" t="inlineStr">
        <is>
          <t>CUST0022</t>
        </is>
      </c>
      <c r="C17" t="inlineStr">
        <is>
          <t>PROD012</t>
        </is>
      </c>
      <c r="D17" t="inlineStr">
        <is>
          <t>STORE032</t>
        </is>
      </c>
      <c r="E17" t="inlineStr">
        <is>
          <t>DP040</t>
        </is>
      </c>
      <c r="F17" t="inlineStr">
        <is>
          <t>2024-07-10 00:49:00</t>
        </is>
      </c>
      <c r="G17" t="inlineStr">
        <is>
          <t>2024-07-10 01:00:00</t>
        </is>
      </c>
      <c r="H17" s="14" t="n">
        <v>8</v>
      </c>
      <c r="I17" s="13" t="n">
        <v>166.14</v>
      </c>
      <c r="J17" s="13" t="n">
        <v>53.92</v>
      </c>
      <c r="K17" s="16" t="n">
        <v>11</v>
      </c>
      <c r="L17" t="inlineStr">
        <is>
          <t>Pending</t>
        </is>
      </c>
      <c r="M17" t="inlineStr">
        <is>
          <t>PAY02</t>
        </is>
      </c>
      <c r="N17" t="inlineStr">
        <is>
          <t>Morning</t>
        </is>
      </c>
      <c r="O17">
        <f>INDEX(Products_Catalog!$B$2:$B$151, MATCH(C17, Products_Catalog!$A$2:$A$151, 0))</f>
        <v/>
      </c>
      <c r="P17" s="13">
        <f>INDEX(Products_Catalog!$D$2:$D$151, MATCH(C17, Products_Catalog!$A$2:$A$151, 0))</f>
        <v/>
      </c>
      <c r="Q17" s="13">
        <f>I17-J17</f>
        <v/>
      </c>
      <c r="R17" s="15">
        <f>IF(K17&gt;20, "BREACH", "OK")</f>
        <v/>
      </c>
    </row>
    <row r="18">
      <c r="A18" t="inlineStr">
        <is>
          <t>ORD00017</t>
        </is>
      </c>
      <c r="B18" t="inlineStr">
        <is>
          <t>CUST0038</t>
        </is>
      </c>
      <c r="C18" t="inlineStr">
        <is>
          <t>PROD133</t>
        </is>
      </c>
      <c r="D18" t="inlineStr">
        <is>
          <t>STORE041</t>
        </is>
      </c>
      <c r="E18" t="inlineStr">
        <is>
          <t>DP042</t>
        </is>
      </c>
      <c r="F18" t="inlineStr">
        <is>
          <t>2024-06-07 02:08:00</t>
        </is>
      </c>
      <c r="G18" t="inlineStr">
        <is>
          <t>2024-06-07 02:20:00</t>
        </is>
      </c>
      <c r="H18" s="14" t="n">
        <v>6</v>
      </c>
      <c r="I18" s="13" t="n">
        <v>130.75</v>
      </c>
      <c r="J18" s="13" t="n">
        <v>72.8</v>
      </c>
      <c r="K18" s="16" t="n">
        <v>12</v>
      </c>
      <c r="L18" t="inlineStr">
        <is>
          <t>Shipped</t>
        </is>
      </c>
      <c r="M18" t="inlineStr">
        <is>
          <t>PAY05</t>
        </is>
      </c>
      <c r="N18" t="inlineStr">
        <is>
          <t>Morning</t>
        </is>
      </c>
      <c r="O18">
        <f>INDEX(Products_Catalog!$B$2:$B$151, MATCH(C18, Products_Catalog!$A$2:$A$151, 0))</f>
        <v/>
      </c>
      <c r="P18" s="13">
        <f>INDEX(Products_Catalog!$D$2:$D$151, MATCH(C18, Products_Catalog!$A$2:$A$151, 0))</f>
        <v/>
      </c>
      <c r="Q18" s="13">
        <f>I18-J18</f>
        <v/>
      </c>
      <c r="R18" s="15">
        <f>IF(K18&gt;20, "BREACH", "OK")</f>
        <v/>
      </c>
    </row>
    <row r="19">
      <c r="A19" t="inlineStr">
        <is>
          <t>ORD00018</t>
        </is>
      </c>
      <c r="B19" t="inlineStr">
        <is>
          <t>CUST0027</t>
        </is>
      </c>
      <c r="C19" t="inlineStr">
        <is>
          <t>PROD031</t>
        </is>
      </c>
      <c r="D19" t="inlineStr">
        <is>
          <t>STORE018</t>
        </is>
      </c>
      <c r="E19" t="inlineStr">
        <is>
          <t>DP026</t>
        </is>
      </c>
      <c r="F19" t="inlineStr">
        <is>
          <t>2024-01-21 06:06:00</t>
        </is>
      </c>
      <c r="G19" t="inlineStr">
        <is>
          <t>2024-01-21 06:19:00</t>
        </is>
      </c>
      <c r="H19" s="14" t="n">
        <v>9</v>
      </c>
      <c r="I19" s="13" t="n">
        <v>575.16</v>
      </c>
      <c r="J19" s="13" t="n">
        <v>24.04</v>
      </c>
      <c r="K19" s="16" t="n">
        <v>13</v>
      </c>
      <c r="L19" t="inlineStr">
        <is>
          <t>Shipped</t>
        </is>
      </c>
      <c r="M19" t="inlineStr">
        <is>
          <t>PAY03</t>
        </is>
      </c>
      <c r="N19" t="inlineStr">
        <is>
          <t>Morning</t>
        </is>
      </c>
      <c r="O19">
        <f>INDEX(Products_Catalog!$B$2:$B$151, MATCH(C19, Products_Catalog!$A$2:$A$151, 0))</f>
        <v/>
      </c>
      <c r="P19" s="13">
        <f>INDEX(Products_Catalog!$D$2:$D$151, MATCH(C19, Products_Catalog!$A$2:$A$151, 0))</f>
        <v/>
      </c>
      <c r="Q19" s="13">
        <f>I19-J19</f>
        <v/>
      </c>
      <c r="R19" s="15">
        <f>IF(K19&gt;20, "BREACH", "OK")</f>
        <v/>
      </c>
    </row>
    <row r="20">
      <c r="A20" t="inlineStr">
        <is>
          <t>ORD00019</t>
        </is>
      </c>
      <c r="B20" t="inlineStr">
        <is>
          <t>CUST0009</t>
        </is>
      </c>
      <c r="C20" t="inlineStr">
        <is>
          <t>PROD145</t>
        </is>
      </c>
      <c r="D20" t="inlineStr">
        <is>
          <t>STORE021</t>
        </is>
      </c>
      <c r="E20" t="inlineStr">
        <is>
          <t>DP014</t>
        </is>
      </c>
      <c r="F20" t="inlineStr">
        <is>
          <t>2024-04-06 08:15:00</t>
        </is>
      </c>
      <c r="G20" t="inlineStr">
        <is>
          <t>2024-04-06 08:29:00</t>
        </is>
      </c>
      <c r="H20" s="14" t="n">
        <v>8</v>
      </c>
      <c r="I20" s="13" t="n">
        <v>862.3200000000001</v>
      </c>
      <c r="J20" s="13" t="n">
        <v>75.12</v>
      </c>
      <c r="K20" s="16" t="n">
        <v>14</v>
      </c>
      <c r="L20" t="inlineStr">
        <is>
          <t>Shipped</t>
        </is>
      </c>
      <c r="M20" t="inlineStr">
        <is>
          <t>PAY02</t>
        </is>
      </c>
      <c r="N20" t="inlineStr">
        <is>
          <t>Morning</t>
        </is>
      </c>
      <c r="O20">
        <f>INDEX(Products_Catalog!$B$2:$B$151, MATCH(C20, Products_Catalog!$A$2:$A$151, 0))</f>
        <v/>
      </c>
      <c r="P20" s="13">
        <f>INDEX(Products_Catalog!$D$2:$D$151, MATCH(C20, Products_Catalog!$A$2:$A$151, 0))</f>
        <v/>
      </c>
      <c r="Q20" s="13">
        <f>I20-J20</f>
        <v/>
      </c>
      <c r="R20" s="15">
        <f>IF(K20&gt;20, "BREACH", "OK")</f>
        <v/>
      </c>
    </row>
    <row r="21">
      <c r="A21" t="inlineStr">
        <is>
          <t>ORD00020</t>
        </is>
      </c>
      <c r="B21" t="inlineStr">
        <is>
          <t>CUST0021</t>
        </is>
      </c>
      <c r="C21" t="inlineStr">
        <is>
          <t>PROD062</t>
        </is>
      </c>
      <c r="D21" t="inlineStr">
        <is>
          <t>STORE036</t>
        </is>
      </c>
      <c r="E21" t="inlineStr">
        <is>
          <t>DP005</t>
        </is>
      </c>
      <c r="F21" t="inlineStr">
        <is>
          <t>2024-02-08 09:18:00</t>
        </is>
      </c>
      <c r="G21" t="inlineStr">
        <is>
          <t>2024-02-08 09:33:00</t>
        </is>
      </c>
      <c r="H21" s="14" t="n">
        <v>9</v>
      </c>
      <c r="I21" s="13" t="n">
        <v>190.34</v>
      </c>
      <c r="J21" s="13" t="n">
        <v>98.70999999999999</v>
      </c>
      <c r="K21" s="16" t="n">
        <v>15</v>
      </c>
      <c r="L21" t="inlineStr">
        <is>
          <t>Delivered</t>
        </is>
      </c>
      <c r="M21" t="inlineStr">
        <is>
          <t>PAY04</t>
        </is>
      </c>
      <c r="N21" t="inlineStr">
        <is>
          <t>Morning</t>
        </is>
      </c>
      <c r="O21">
        <f>INDEX(Products_Catalog!$B$2:$B$151, MATCH(C21, Products_Catalog!$A$2:$A$151, 0))</f>
        <v/>
      </c>
      <c r="P21" s="13">
        <f>INDEX(Products_Catalog!$D$2:$D$151, MATCH(C21, Products_Catalog!$A$2:$A$151, 0))</f>
        <v/>
      </c>
      <c r="Q21" s="13">
        <f>I21-J21</f>
        <v/>
      </c>
      <c r="R21" s="15">
        <f>IF(K21&gt;20, "BREACH", "OK")</f>
        <v/>
      </c>
    </row>
    <row r="22">
      <c r="A22" t="inlineStr">
        <is>
          <t>ORD00021</t>
        </is>
      </c>
      <c r="B22" t="inlineStr">
        <is>
          <t>CUST0030</t>
        </is>
      </c>
      <c r="C22" t="inlineStr">
        <is>
          <t>PROD137</t>
        </is>
      </c>
      <c r="D22" t="inlineStr">
        <is>
          <t>STORE001</t>
        </is>
      </c>
      <c r="E22" t="inlineStr">
        <is>
          <t>DP031</t>
        </is>
      </c>
      <c r="F22" t="inlineStr">
        <is>
          <t>2024-12-26 06:18:00</t>
        </is>
      </c>
      <c r="G22" t="inlineStr">
        <is>
          <t>2024-12-26 06:34:00</t>
        </is>
      </c>
      <c r="H22" s="14" t="n">
        <v>8</v>
      </c>
      <c r="I22" s="13" t="n">
        <v>402.35</v>
      </c>
      <c r="J22" s="13" t="n">
        <v>64.95</v>
      </c>
      <c r="K22" s="16" t="n">
        <v>16</v>
      </c>
      <c r="L22" t="inlineStr">
        <is>
          <t>Shipped</t>
        </is>
      </c>
      <c r="M22" t="inlineStr">
        <is>
          <t>PAY03</t>
        </is>
      </c>
      <c r="N22" t="inlineStr">
        <is>
          <t>Morning</t>
        </is>
      </c>
      <c r="O22">
        <f>INDEX(Products_Catalog!$B$2:$B$151, MATCH(C22, Products_Catalog!$A$2:$A$151, 0))</f>
        <v/>
      </c>
      <c r="P22" s="13">
        <f>INDEX(Products_Catalog!$D$2:$D$151, MATCH(C22, Products_Catalog!$A$2:$A$151, 0))</f>
        <v/>
      </c>
      <c r="Q22" s="13">
        <f>I22-J22</f>
        <v/>
      </c>
      <c r="R22" s="15">
        <f>IF(K22&gt;20, "BREACH", "OK")</f>
        <v/>
      </c>
    </row>
    <row r="23">
      <c r="A23" t="inlineStr">
        <is>
          <t>ORD00022</t>
        </is>
      </c>
      <c r="B23" t="inlineStr">
        <is>
          <t>CUST0044</t>
        </is>
      </c>
      <c r="C23" t="inlineStr">
        <is>
          <t>PROD041</t>
        </is>
      </c>
      <c r="D23" t="inlineStr">
        <is>
          <t>STORE004</t>
        </is>
      </c>
      <c r="E23" t="inlineStr">
        <is>
          <t>DP011</t>
        </is>
      </c>
      <c r="F23" t="inlineStr">
        <is>
          <t>2024-10-08 04:45:00</t>
        </is>
      </c>
      <c r="G23" t="inlineStr">
        <is>
          <t>2024-10-08 05:02:00</t>
        </is>
      </c>
      <c r="H23" s="14" t="n">
        <v>5</v>
      </c>
      <c r="I23" s="13" t="n">
        <v>511.26</v>
      </c>
      <c r="J23" s="13" t="n">
        <v>19.13</v>
      </c>
      <c r="K23" s="16" t="n">
        <v>17</v>
      </c>
      <c r="L23" t="inlineStr">
        <is>
          <t>Delivered</t>
        </is>
      </c>
      <c r="M23" t="inlineStr">
        <is>
          <t>PAY02</t>
        </is>
      </c>
      <c r="N23" t="inlineStr">
        <is>
          <t>Morning</t>
        </is>
      </c>
      <c r="O23">
        <f>INDEX(Products_Catalog!$B$2:$B$151, MATCH(C23, Products_Catalog!$A$2:$A$151, 0))</f>
        <v/>
      </c>
      <c r="P23" s="13">
        <f>INDEX(Products_Catalog!$D$2:$D$151, MATCH(C23, Products_Catalog!$A$2:$A$151, 0))</f>
        <v/>
      </c>
      <c r="Q23" s="13">
        <f>I23-J23</f>
        <v/>
      </c>
      <c r="R23" s="15">
        <f>IF(K23&gt;20, "BREACH", "OK")</f>
        <v/>
      </c>
    </row>
    <row r="24">
      <c r="A24" t="inlineStr">
        <is>
          <t>ORD00023</t>
        </is>
      </c>
      <c r="B24" t="inlineStr">
        <is>
          <t>CUST0001</t>
        </is>
      </c>
      <c r="C24" t="inlineStr">
        <is>
          <t>PROD106</t>
        </is>
      </c>
      <c r="D24" t="inlineStr">
        <is>
          <t>STORE031</t>
        </is>
      </c>
      <c r="E24" t="inlineStr">
        <is>
          <t>DP015</t>
        </is>
      </c>
      <c r="F24" t="inlineStr">
        <is>
          <t>2024-06-30 05:29:00</t>
        </is>
      </c>
      <c r="G24" t="inlineStr">
        <is>
          <t>2024-06-30 05:47:00</t>
        </is>
      </c>
      <c r="H24" s="14" t="n">
        <v>5</v>
      </c>
      <c r="I24" s="13" t="n">
        <v>820.1</v>
      </c>
      <c r="J24" s="13" t="n">
        <v>42.54</v>
      </c>
      <c r="K24" s="16" t="n">
        <v>18</v>
      </c>
      <c r="L24" t="inlineStr">
        <is>
          <t>Pending</t>
        </is>
      </c>
      <c r="M24" t="inlineStr">
        <is>
          <t>PAY02</t>
        </is>
      </c>
      <c r="N24" t="inlineStr">
        <is>
          <t>Morning</t>
        </is>
      </c>
      <c r="O24">
        <f>INDEX(Products_Catalog!$B$2:$B$151, MATCH(C24, Products_Catalog!$A$2:$A$151, 0))</f>
        <v/>
      </c>
      <c r="P24" s="13">
        <f>INDEX(Products_Catalog!$D$2:$D$151, MATCH(C24, Products_Catalog!$A$2:$A$151, 0))</f>
        <v/>
      </c>
      <c r="Q24" s="13">
        <f>I24-J24</f>
        <v/>
      </c>
      <c r="R24" s="15">
        <f>IF(K24&gt;20, "BREACH", "OK")</f>
        <v/>
      </c>
    </row>
    <row r="25">
      <c r="A25" t="inlineStr">
        <is>
          <t>ORD00024</t>
        </is>
      </c>
      <c r="B25" t="inlineStr">
        <is>
          <t>CUST0002</t>
        </is>
      </c>
      <c r="C25" t="inlineStr">
        <is>
          <t>PROD139</t>
        </is>
      </c>
      <c r="D25" t="inlineStr">
        <is>
          <t>STORE015</t>
        </is>
      </c>
      <c r="E25" t="inlineStr">
        <is>
          <t>DP018</t>
        </is>
      </c>
      <c r="F25" t="inlineStr">
        <is>
          <t>2024-06-30 05:54:00</t>
        </is>
      </c>
      <c r="G25" t="inlineStr">
        <is>
          <t>2024-06-30 06:13:00</t>
        </is>
      </c>
      <c r="H25" s="14" t="n">
        <v>6</v>
      </c>
      <c r="I25" s="13" t="n">
        <v>876.65</v>
      </c>
      <c r="J25" s="13" t="n">
        <v>76.08</v>
      </c>
      <c r="K25" s="16" t="n">
        <v>19</v>
      </c>
      <c r="L25" t="inlineStr">
        <is>
          <t>Delivered</t>
        </is>
      </c>
      <c r="M25" t="inlineStr">
        <is>
          <t>PAY01</t>
        </is>
      </c>
      <c r="N25" t="inlineStr">
        <is>
          <t>Morning</t>
        </is>
      </c>
      <c r="O25">
        <f>INDEX(Products_Catalog!$B$2:$B$151, MATCH(C25, Products_Catalog!$A$2:$A$151, 0))</f>
        <v/>
      </c>
      <c r="P25" s="13">
        <f>INDEX(Products_Catalog!$D$2:$D$151, MATCH(C25, Products_Catalog!$A$2:$A$151, 0))</f>
        <v/>
      </c>
      <c r="Q25" s="13">
        <f>I25-J25</f>
        <v/>
      </c>
      <c r="R25" s="15">
        <f>IF(K25&gt;20, "BREACH", "OK")</f>
        <v/>
      </c>
    </row>
    <row r="26">
      <c r="A26" t="inlineStr">
        <is>
          <t>ORD00025</t>
        </is>
      </c>
      <c r="B26" t="inlineStr">
        <is>
          <t>CUST0032</t>
        </is>
      </c>
      <c r="C26" t="inlineStr">
        <is>
          <t>PROD131</t>
        </is>
      </c>
      <c r="D26" t="inlineStr">
        <is>
          <t>STORE003</t>
        </is>
      </c>
      <c r="E26" t="inlineStr">
        <is>
          <t>DP045</t>
        </is>
      </c>
      <c r="F26" t="inlineStr">
        <is>
          <t>2024-05-30 08:25:00</t>
        </is>
      </c>
      <c r="G26" t="inlineStr">
        <is>
          <t>2024-05-30 08:45:00</t>
        </is>
      </c>
      <c r="H26" s="14" t="n">
        <v>6</v>
      </c>
      <c r="I26" s="13" t="n">
        <v>872.7</v>
      </c>
      <c r="J26" s="13" t="n">
        <v>34.96</v>
      </c>
      <c r="K26" s="16" t="n">
        <v>20</v>
      </c>
      <c r="L26" t="inlineStr">
        <is>
          <t>Shipped</t>
        </is>
      </c>
      <c r="M26" t="inlineStr">
        <is>
          <t>PAY04</t>
        </is>
      </c>
      <c r="N26" t="inlineStr">
        <is>
          <t>Morning</t>
        </is>
      </c>
      <c r="O26">
        <f>INDEX(Products_Catalog!$B$2:$B$151, MATCH(C26, Products_Catalog!$A$2:$A$151, 0))</f>
        <v/>
      </c>
      <c r="P26" s="13">
        <f>INDEX(Products_Catalog!$D$2:$D$151, MATCH(C26, Products_Catalog!$A$2:$A$151, 0))</f>
        <v/>
      </c>
      <c r="Q26" s="13">
        <f>I26-J26</f>
        <v/>
      </c>
      <c r="R26" s="15">
        <f>IF(K26&gt;20, "BREACH", "OK")</f>
        <v/>
      </c>
    </row>
    <row r="27">
      <c r="A27" t="inlineStr">
        <is>
          <t>ORD00026</t>
        </is>
      </c>
      <c r="B27" t="inlineStr">
        <is>
          <t>CUST0037</t>
        </is>
      </c>
      <c r="C27" t="inlineStr">
        <is>
          <t>PROD078</t>
        </is>
      </c>
      <c r="D27" t="inlineStr">
        <is>
          <t>STORE045</t>
        </is>
      </c>
      <c r="E27" t="inlineStr">
        <is>
          <t>DP037</t>
        </is>
      </c>
      <c r="F27" t="inlineStr">
        <is>
          <t>2024-04-16 11:34:00</t>
        </is>
      </c>
      <c r="G27" t="inlineStr">
        <is>
          <t>2024-04-16 11:55:00</t>
        </is>
      </c>
      <c r="H27" s="14" t="n">
        <v>7</v>
      </c>
      <c r="I27" s="13" t="n">
        <v>223.22</v>
      </c>
      <c r="J27" s="13" t="n">
        <v>97.78</v>
      </c>
      <c r="K27" s="16" t="n">
        <v>21</v>
      </c>
      <c r="L27" t="inlineStr">
        <is>
          <t>Cancelled</t>
        </is>
      </c>
      <c r="M27" t="inlineStr">
        <is>
          <t>PAY05</t>
        </is>
      </c>
      <c r="N27" t="inlineStr">
        <is>
          <t>Morning</t>
        </is>
      </c>
      <c r="O27">
        <f>INDEX(Products_Catalog!$B$2:$B$151, MATCH(C27, Products_Catalog!$A$2:$A$151, 0))</f>
        <v/>
      </c>
      <c r="P27" s="13">
        <f>INDEX(Products_Catalog!$D$2:$D$151, MATCH(C27, Products_Catalog!$A$2:$A$151, 0))</f>
        <v/>
      </c>
      <c r="Q27" s="13">
        <f>I27-J27</f>
        <v/>
      </c>
      <c r="R27" s="15">
        <f>IF(K27&gt;20, "BREACH", "OK")</f>
        <v/>
      </c>
    </row>
    <row r="28">
      <c r="A28" t="inlineStr">
        <is>
          <t>ORD00027</t>
        </is>
      </c>
      <c r="B28" t="inlineStr">
        <is>
          <t>CUST0041</t>
        </is>
      </c>
      <c r="C28" t="inlineStr">
        <is>
          <t>PROD124</t>
        </is>
      </c>
      <c r="D28" t="inlineStr">
        <is>
          <t>STORE046</t>
        </is>
      </c>
      <c r="E28" t="inlineStr">
        <is>
          <t>DP013</t>
        </is>
      </c>
      <c r="F28" t="inlineStr">
        <is>
          <t>2024-09-24 09:09:00</t>
        </is>
      </c>
      <c r="G28" t="inlineStr">
        <is>
          <t>2024-09-24 09:31:00</t>
        </is>
      </c>
      <c r="H28" s="14" t="n">
        <v>1</v>
      </c>
      <c r="I28" s="13" t="n">
        <v>368.82</v>
      </c>
      <c r="J28" s="13" t="n">
        <v>33.05</v>
      </c>
      <c r="K28" s="16" t="n">
        <v>22</v>
      </c>
      <c r="L28" t="inlineStr">
        <is>
          <t>Cancelled</t>
        </is>
      </c>
      <c r="M28" t="inlineStr">
        <is>
          <t>PAY01</t>
        </is>
      </c>
      <c r="N28" t="inlineStr">
        <is>
          <t>Morning</t>
        </is>
      </c>
      <c r="O28">
        <f>INDEX(Products_Catalog!$B$2:$B$151, MATCH(C28, Products_Catalog!$A$2:$A$151, 0))</f>
        <v/>
      </c>
      <c r="P28" s="13">
        <f>INDEX(Products_Catalog!$D$2:$D$151, MATCH(C28, Products_Catalog!$A$2:$A$151, 0))</f>
        <v/>
      </c>
      <c r="Q28" s="13">
        <f>I28-J28</f>
        <v/>
      </c>
      <c r="R28" s="15">
        <f>IF(K28&gt;20, "BREACH", "OK")</f>
        <v/>
      </c>
    </row>
    <row r="29">
      <c r="A29" t="inlineStr">
        <is>
          <t>ORD00028</t>
        </is>
      </c>
      <c r="B29" t="inlineStr">
        <is>
          <t>CUST0017</t>
        </is>
      </c>
      <c r="C29" t="inlineStr">
        <is>
          <t>PROD110</t>
        </is>
      </c>
      <c r="D29" t="inlineStr">
        <is>
          <t>STORE024</t>
        </is>
      </c>
      <c r="E29" t="inlineStr">
        <is>
          <t>DP015</t>
        </is>
      </c>
      <c r="F29" t="inlineStr">
        <is>
          <t>2024-01-16 05:46:00</t>
        </is>
      </c>
      <c r="G29" t="inlineStr">
        <is>
          <t>2024-01-16 06:09:00</t>
        </is>
      </c>
      <c r="H29" s="14" t="n">
        <v>4</v>
      </c>
      <c r="I29" s="13" t="n">
        <v>565.4</v>
      </c>
      <c r="J29" s="13" t="n">
        <v>77.59</v>
      </c>
      <c r="K29" s="16" t="n">
        <v>23</v>
      </c>
      <c r="L29" t="inlineStr">
        <is>
          <t>Cancelled</t>
        </is>
      </c>
      <c r="M29" t="inlineStr">
        <is>
          <t>PAY04</t>
        </is>
      </c>
      <c r="N29" t="inlineStr">
        <is>
          <t>Morning</t>
        </is>
      </c>
      <c r="O29">
        <f>INDEX(Products_Catalog!$B$2:$B$151, MATCH(C29, Products_Catalog!$A$2:$A$151, 0))</f>
        <v/>
      </c>
      <c r="P29" s="13">
        <f>INDEX(Products_Catalog!$D$2:$D$151, MATCH(C29, Products_Catalog!$A$2:$A$151, 0))</f>
        <v/>
      </c>
      <c r="Q29" s="13">
        <f>I29-J29</f>
        <v/>
      </c>
      <c r="R29" s="15">
        <f>IF(K29&gt;20, "BREACH", "OK")</f>
        <v/>
      </c>
    </row>
    <row r="30">
      <c r="A30" t="inlineStr">
        <is>
          <t>ORD00029</t>
        </is>
      </c>
      <c r="B30" t="inlineStr">
        <is>
          <t>CUST0017</t>
        </is>
      </c>
      <c r="C30" t="inlineStr">
        <is>
          <t>PROD067</t>
        </is>
      </c>
      <c r="D30" t="inlineStr">
        <is>
          <t>STORE003</t>
        </is>
      </c>
      <c r="E30" t="inlineStr">
        <is>
          <t>DP005</t>
        </is>
      </c>
      <c r="F30" t="inlineStr">
        <is>
          <t>2024-11-10 05:50:00</t>
        </is>
      </c>
      <c r="G30" t="inlineStr">
        <is>
          <t>2024-11-10 06:14:00</t>
        </is>
      </c>
      <c r="H30" s="14" t="n">
        <v>10</v>
      </c>
      <c r="I30" s="13" t="n">
        <v>484.66</v>
      </c>
      <c r="J30" s="13" t="n">
        <v>73.02</v>
      </c>
      <c r="K30" s="16" t="n">
        <v>24</v>
      </c>
      <c r="L30" t="inlineStr">
        <is>
          <t>Shipped</t>
        </is>
      </c>
      <c r="M30" t="inlineStr">
        <is>
          <t>PAY05</t>
        </is>
      </c>
      <c r="N30" t="inlineStr">
        <is>
          <t>Morning</t>
        </is>
      </c>
      <c r="O30">
        <f>INDEX(Products_Catalog!$B$2:$B$151, MATCH(C30, Products_Catalog!$A$2:$A$151, 0))</f>
        <v/>
      </c>
      <c r="P30" s="13">
        <f>INDEX(Products_Catalog!$D$2:$D$151, MATCH(C30, Products_Catalog!$A$2:$A$151, 0))</f>
        <v/>
      </c>
      <c r="Q30" s="13">
        <f>I30-J30</f>
        <v/>
      </c>
      <c r="R30" s="15">
        <f>IF(K30&gt;20, "BREACH", "OK")</f>
        <v/>
      </c>
    </row>
    <row r="31">
      <c r="A31" t="inlineStr">
        <is>
          <t>ORD00030</t>
        </is>
      </c>
      <c r="B31" t="inlineStr">
        <is>
          <t>CUST0006</t>
        </is>
      </c>
      <c r="C31" t="inlineStr">
        <is>
          <t>PROD092</t>
        </is>
      </c>
      <c r="D31" t="inlineStr">
        <is>
          <t>STORE016</t>
        </is>
      </c>
      <c r="E31" t="inlineStr">
        <is>
          <t>DP013</t>
        </is>
      </c>
      <c r="F31" t="inlineStr">
        <is>
          <t>2024-12-20 07:08:00</t>
        </is>
      </c>
      <c r="G31" t="inlineStr">
        <is>
          <t>2024-12-20 07:33:00</t>
        </is>
      </c>
      <c r="H31" s="14" t="n">
        <v>1</v>
      </c>
      <c r="I31" s="13" t="n">
        <v>974.41</v>
      </c>
      <c r="J31" s="13" t="n">
        <v>12.63</v>
      </c>
      <c r="K31" s="16" t="n">
        <v>25</v>
      </c>
      <c r="L31" t="inlineStr">
        <is>
          <t>Cancelled</t>
        </is>
      </c>
      <c r="M31" t="inlineStr">
        <is>
          <t>PAY01</t>
        </is>
      </c>
      <c r="N31" t="inlineStr">
        <is>
          <t>Morning</t>
        </is>
      </c>
      <c r="O31">
        <f>INDEX(Products_Catalog!$B$2:$B$151, MATCH(C31, Products_Catalog!$A$2:$A$151, 0))</f>
        <v/>
      </c>
      <c r="P31" s="13">
        <f>INDEX(Products_Catalog!$D$2:$D$151, MATCH(C31, Products_Catalog!$A$2:$A$151, 0))</f>
        <v/>
      </c>
      <c r="Q31" s="13">
        <f>I31-J31</f>
        <v/>
      </c>
      <c r="R31" s="15">
        <f>IF(K31&gt;20, "BREACH", "OK")</f>
        <v/>
      </c>
    </row>
    <row r="32">
      <c r="A32" t="inlineStr">
        <is>
          <t>ORD00031</t>
        </is>
      </c>
      <c r="B32" t="inlineStr">
        <is>
          <t>CUST0004</t>
        </is>
      </c>
      <c r="C32" t="inlineStr">
        <is>
          <t>PROD010</t>
        </is>
      </c>
      <c r="D32" t="inlineStr">
        <is>
          <t>STORE018</t>
        </is>
      </c>
      <c r="E32" t="inlineStr">
        <is>
          <t>DP035</t>
        </is>
      </c>
      <c r="F32" t="inlineStr">
        <is>
          <t>2024-11-06 07:57:00</t>
        </is>
      </c>
      <c r="G32" t="inlineStr">
        <is>
          <t>2024-11-06 08:23:00</t>
        </is>
      </c>
      <c r="H32" s="14" t="n">
        <v>6</v>
      </c>
      <c r="I32" s="13" t="n">
        <v>344.54</v>
      </c>
      <c r="J32" s="13" t="n">
        <v>86.87</v>
      </c>
      <c r="K32" s="16" t="n">
        <v>26</v>
      </c>
      <c r="L32" t="inlineStr">
        <is>
          <t>Delivered</t>
        </is>
      </c>
      <c r="M32" t="inlineStr">
        <is>
          <t>PAY04</t>
        </is>
      </c>
      <c r="N32" t="inlineStr">
        <is>
          <t>Morning</t>
        </is>
      </c>
      <c r="O32">
        <f>INDEX(Products_Catalog!$B$2:$B$151, MATCH(C32, Products_Catalog!$A$2:$A$151, 0))</f>
        <v/>
      </c>
      <c r="P32" s="13">
        <f>INDEX(Products_Catalog!$D$2:$D$151, MATCH(C32, Products_Catalog!$A$2:$A$151, 0))</f>
        <v/>
      </c>
      <c r="Q32" s="13">
        <f>I32-J32</f>
        <v/>
      </c>
      <c r="R32" s="15">
        <f>IF(K32&gt;20, "BREACH", "OK")</f>
        <v/>
      </c>
    </row>
    <row r="33">
      <c r="A33" t="inlineStr">
        <is>
          <t>ORD00032</t>
        </is>
      </c>
      <c r="B33" t="inlineStr">
        <is>
          <t>CUST0041</t>
        </is>
      </c>
      <c r="C33" t="inlineStr">
        <is>
          <t>PROD130</t>
        </is>
      </c>
      <c r="D33" t="inlineStr">
        <is>
          <t>STORE004</t>
        </is>
      </c>
      <c r="E33" t="inlineStr">
        <is>
          <t>DP042</t>
        </is>
      </c>
      <c r="F33" t="inlineStr">
        <is>
          <t>2024-04-01 09:42:00</t>
        </is>
      </c>
      <c r="G33" t="inlineStr">
        <is>
          <t>2024-04-01 10:09:00</t>
        </is>
      </c>
      <c r="H33" s="14" t="n">
        <v>10</v>
      </c>
      <c r="I33" s="13" t="n">
        <v>529.0599999999999</v>
      </c>
      <c r="J33" s="13" t="n">
        <v>47.66</v>
      </c>
      <c r="K33" s="16" t="n">
        <v>27</v>
      </c>
      <c r="L33" t="inlineStr">
        <is>
          <t>Cancelled</t>
        </is>
      </c>
      <c r="M33" t="inlineStr">
        <is>
          <t>PAY05</t>
        </is>
      </c>
      <c r="N33" t="inlineStr">
        <is>
          <t>Morning</t>
        </is>
      </c>
      <c r="O33">
        <f>INDEX(Products_Catalog!$B$2:$B$151, MATCH(C33, Products_Catalog!$A$2:$A$151, 0))</f>
        <v/>
      </c>
      <c r="P33" s="13">
        <f>INDEX(Products_Catalog!$D$2:$D$151, MATCH(C33, Products_Catalog!$A$2:$A$151, 0))</f>
        <v/>
      </c>
      <c r="Q33" s="13">
        <f>I33-J33</f>
        <v/>
      </c>
      <c r="R33" s="15">
        <f>IF(K33&gt;20, "BREACH", "OK")</f>
        <v/>
      </c>
    </row>
    <row r="34">
      <c r="A34" t="inlineStr">
        <is>
          <t>ORD00033</t>
        </is>
      </c>
      <c r="B34" t="inlineStr">
        <is>
          <t>CUST0033</t>
        </is>
      </c>
      <c r="C34" t="inlineStr">
        <is>
          <t>PROD059</t>
        </is>
      </c>
      <c r="D34" t="inlineStr">
        <is>
          <t>STORE017</t>
        </is>
      </c>
      <c r="E34" t="inlineStr">
        <is>
          <t>DP024</t>
        </is>
      </c>
      <c r="F34" t="inlineStr">
        <is>
          <t>2024-12-12 02:18:00</t>
        </is>
      </c>
      <c r="G34" t="inlineStr">
        <is>
          <t>2024-12-12 02:46:00</t>
        </is>
      </c>
      <c r="H34" s="14" t="n">
        <v>4</v>
      </c>
      <c r="I34" s="13" t="n">
        <v>531.09</v>
      </c>
      <c r="J34" s="13" t="n">
        <v>62.62</v>
      </c>
      <c r="K34" s="16" t="n">
        <v>28</v>
      </c>
      <c r="L34" t="inlineStr">
        <is>
          <t>Shipped</t>
        </is>
      </c>
      <c r="M34" t="inlineStr">
        <is>
          <t>PAY05</t>
        </is>
      </c>
      <c r="N34" t="inlineStr">
        <is>
          <t>Morning</t>
        </is>
      </c>
      <c r="O34">
        <f>INDEX(Products_Catalog!$B$2:$B$151, MATCH(C34, Products_Catalog!$A$2:$A$151, 0))</f>
        <v/>
      </c>
      <c r="P34" s="13">
        <f>INDEX(Products_Catalog!$D$2:$D$151, MATCH(C34, Products_Catalog!$A$2:$A$151, 0))</f>
        <v/>
      </c>
      <c r="Q34" s="13">
        <f>I34-J34</f>
        <v/>
      </c>
      <c r="R34" s="15">
        <f>IF(K34&gt;20, "BREACH", "OK")</f>
        <v/>
      </c>
    </row>
    <row r="35">
      <c r="A35" t="inlineStr">
        <is>
          <t>ORD00034</t>
        </is>
      </c>
      <c r="B35" t="inlineStr">
        <is>
          <t>CUST0018</t>
        </is>
      </c>
      <c r="C35" t="inlineStr">
        <is>
          <t>PROD053</t>
        </is>
      </c>
      <c r="D35" t="inlineStr">
        <is>
          <t>STORE019</t>
        </is>
      </c>
      <c r="E35" t="inlineStr">
        <is>
          <t>DP031</t>
        </is>
      </c>
      <c r="F35" t="inlineStr">
        <is>
          <t>2024-10-04 08:25:00</t>
        </is>
      </c>
      <c r="G35" t="inlineStr">
        <is>
          <t>2024-10-04 08:54:00</t>
        </is>
      </c>
      <c r="H35" s="14" t="n">
        <v>7</v>
      </c>
      <c r="I35" s="13" t="n">
        <v>158.12</v>
      </c>
      <c r="J35" s="13" t="n">
        <v>12.93</v>
      </c>
      <c r="K35" s="16" t="n">
        <v>29</v>
      </c>
      <c r="L35" t="inlineStr">
        <is>
          <t>Shipped</t>
        </is>
      </c>
      <c r="M35" t="inlineStr">
        <is>
          <t>PAY05</t>
        </is>
      </c>
      <c r="N35" t="inlineStr">
        <is>
          <t>Morning</t>
        </is>
      </c>
      <c r="O35">
        <f>INDEX(Products_Catalog!$B$2:$B$151, MATCH(C35, Products_Catalog!$A$2:$A$151, 0))</f>
        <v/>
      </c>
      <c r="P35" s="13">
        <f>INDEX(Products_Catalog!$D$2:$D$151, MATCH(C35, Products_Catalog!$A$2:$A$151, 0))</f>
        <v/>
      </c>
      <c r="Q35" s="13">
        <f>I35-J35</f>
        <v/>
      </c>
      <c r="R35" s="15">
        <f>IF(K35&gt;20, "BREACH", "OK")</f>
        <v/>
      </c>
    </row>
    <row r="36">
      <c r="A36" t="inlineStr">
        <is>
          <t>ORD00035</t>
        </is>
      </c>
      <c r="B36" t="inlineStr">
        <is>
          <t>CUST0026</t>
        </is>
      </c>
      <c r="C36" t="inlineStr">
        <is>
          <t>PROD007</t>
        </is>
      </c>
      <c r="D36" t="inlineStr">
        <is>
          <t>STORE042</t>
        </is>
      </c>
      <c r="E36" t="inlineStr">
        <is>
          <t>DP010</t>
        </is>
      </c>
      <c r="F36" t="inlineStr">
        <is>
          <t>2024-06-08 05:58:00</t>
        </is>
      </c>
      <c r="G36" t="inlineStr">
        <is>
          <t>2024-06-08 06:28:00</t>
        </is>
      </c>
      <c r="H36" s="14" t="n">
        <v>6</v>
      </c>
      <c r="I36" s="13" t="n">
        <v>901.09</v>
      </c>
      <c r="J36" s="13" t="n">
        <v>9.16</v>
      </c>
      <c r="K36" s="16" t="n">
        <v>30</v>
      </c>
      <c r="L36" t="inlineStr">
        <is>
          <t>Delivered</t>
        </is>
      </c>
      <c r="M36" t="inlineStr">
        <is>
          <t>PAY03</t>
        </is>
      </c>
      <c r="N36" t="inlineStr">
        <is>
          <t>Morning</t>
        </is>
      </c>
      <c r="O36">
        <f>INDEX(Products_Catalog!$B$2:$B$151, MATCH(C36, Products_Catalog!$A$2:$A$151, 0))</f>
        <v/>
      </c>
      <c r="P36" s="13">
        <f>INDEX(Products_Catalog!$D$2:$D$151, MATCH(C36, Products_Catalog!$A$2:$A$151, 0))</f>
        <v/>
      </c>
      <c r="Q36" s="13">
        <f>I36-J36</f>
        <v/>
      </c>
      <c r="R36" s="15">
        <f>IF(K36&gt;20, "BREACH", "OK")</f>
        <v/>
      </c>
    </row>
    <row r="37">
      <c r="A37" t="inlineStr">
        <is>
          <t>ORD00036</t>
        </is>
      </c>
      <c r="B37" t="inlineStr">
        <is>
          <t>CUST0039</t>
        </is>
      </c>
      <c r="C37" t="inlineStr">
        <is>
          <t>PROD126</t>
        </is>
      </c>
      <c r="D37" t="inlineStr">
        <is>
          <t>STORE023</t>
        </is>
      </c>
      <c r="E37" t="inlineStr">
        <is>
          <t>DP037</t>
        </is>
      </c>
      <c r="F37" t="inlineStr">
        <is>
          <t>2024-04-25 04:24:00</t>
        </is>
      </c>
      <c r="G37" t="inlineStr">
        <is>
          <t>2024-04-25 04:34:00</t>
        </is>
      </c>
      <c r="H37" s="14" t="n">
        <v>4</v>
      </c>
      <c r="I37" s="13" t="n">
        <v>299.69</v>
      </c>
      <c r="J37" s="13" t="n">
        <v>95.28</v>
      </c>
      <c r="K37" s="16" t="n">
        <v>10</v>
      </c>
      <c r="L37" t="inlineStr">
        <is>
          <t>Pending</t>
        </is>
      </c>
      <c r="M37" t="inlineStr">
        <is>
          <t>PAY03</t>
        </is>
      </c>
      <c r="N37" t="inlineStr">
        <is>
          <t>Morning</t>
        </is>
      </c>
      <c r="O37">
        <f>INDEX(Products_Catalog!$B$2:$B$151, MATCH(C37, Products_Catalog!$A$2:$A$151, 0))</f>
        <v/>
      </c>
      <c r="P37" s="13">
        <f>INDEX(Products_Catalog!$D$2:$D$151, MATCH(C37, Products_Catalog!$A$2:$A$151, 0))</f>
        <v/>
      </c>
      <c r="Q37" s="13">
        <f>I37-J37</f>
        <v/>
      </c>
      <c r="R37" s="15">
        <f>IF(K37&gt;20, "BREACH", "OK")</f>
        <v/>
      </c>
    </row>
    <row r="38">
      <c r="A38" t="inlineStr">
        <is>
          <t>ORD00037</t>
        </is>
      </c>
      <c r="B38" t="inlineStr">
        <is>
          <t>CUST0042</t>
        </is>
      </c>
      <c r="C38" t="inlineStr">
        <is>
          <t>PROD131</t>
        </is>
      </c>
      <c r="D38" t="inlineStr">
        <is>
          <t>STORE020</t>
        </is>
      </c>
      <c r="E38" t="inlineStr">
        <is>
          <t>DP013</t>
        </is>
      </c>
      <c r="F38" t="inlineStr">
        <is>
          <t>2024-01-13 08:36:00</t>
        </is>
      </c>
      <c r="G38" t="inlineStr">
        <is>
          <t>2024-01-13 08:47:00</t>
        </is>
      </c>
      <c r="H38" s="14" t="n">
        <v>1</v>
      </c>
      <c r="I38" s="13" t="n">
        <v>512.35</v>
      </c>
      <c r="J38" s="13" t="n">
        <v>86.45</v>
      </c>
      <c r="K38" s="16" t="n">
        <v>11</v>
      </c>
      <c r="L38" t="inlineStr">
        <is>
          <t>Pending</t>
        </is>
      </c>
      <c r="M38" t="inlineStr">
        <is>
          <t>PAY01</t>
        </is>
      </c>
      <c r="N38" t="inlineStr">
        <is>
          <t>Morning</t>
        </is>
      </c>
      <c r="O38">
        <f>INDEX(Products_Catalog!$B$2:$B$151, MATCH(C38, Products_Catalog!$A$2:$A$151, 0))</f>
        <v/>
      </c>
      <c r="P38" s="13">
        <f>INDEX(Products_Catalog!$D$2:$D$151, MATCH(C38, Products_Catalog!$A$2:$A$151, 0))</f>
        <v/>
      </c>
      <c r="Q38" s="13">
        <f>I38-J38</f>
        <v/>
      </c>
      <c r="R38" s="15">
        <f>IF(K38&gt;20, "BREACH", "OK")</f>
        <v/>
      </c>
    </row>
    <row r="39">
      <c r="A39" t="inlineStr">
        <is>
          <t>ORD00038</t>
        </is>
      </c>
      <c r="B39" t="inlineStr">
        <is>
          <t>CUST0035</t>
        </is>
      </c>
      <c r="C39" t="inlineStr">
        <is>
          <t>PROD143</t>
        </is>
      </c>
      <c r="D39" t="inlineStr">
        <is>
          <t>STORE034</t>
        </is>
      </c>
      <c r="E39" t="inlineStr">
        <is>
          <t>DP044</t>
        </is>
      </c>
      <c r="F39" t="inlineStr">
        <is>
          <t>2024-07-26 04:58:00</t>
        </is>
      </c>
      <c r="G39" t="inlineStr">
        <is>
          <t>2024-07-26 05:10:00</t>
        </is>
      </c>
      <c r="H39" s="14" t="n">
        <v>3</v>
      </c>
      <c r="I39" s="13" t="n">
        <v>796.5599999999999</v>
      </c>
      <c r="J39" s="13" t="n">
        <v>78.29000000000001</v>
      </c>
      <c r="K39" s="16" t="n">
        <v>12</v>
      </c>
      <c r="L39" t="inlineStr">
        <is>
          <t>Delivered</t>
        </is>
      </c>
      <c r="M39" t="inlineStr">
        <is>
          <t>PAY05</t>
        </is>
      </c>
      <c r="N39" t="inlineStr">
        <is>
          <t>Morning</t>
        </is>
      </c>
      <c r="O39">
        <f>INDEX(Products_Catalog!$B$2:$B$151, MATCH(C39, Products_Catalog!$A$2:$A$151, 0))</f>
        <v/>
      </c>
      <c r="P39" s="13">
        <f>INDEX(Products_Catalog!$D$2:$D$151, MATCH(C39, Products_Catalog!$A$2:$A$151, 0))</f>
        <v/>
      </c>
      <c r="Q39" s="13">
        <f>I39-J39</f>
        <v/>
      </c>
      <c r="R39" s="15">
        <f>IF(K39&gt;20, "BREACH", "OK")</f>
        <v/>
      </c>
    </row>
    <row r="40">
      <c r="A40" t="inlineStr">
        <is>
          <t>ORD00039</t>
        </is>
      </c>
      <c r="B40" t="inlineStr">
        <is>
          <t>CUST0032</t>
        </is>
      </c>
      <c r="C40" t="inlineStr">
        <is>
          <t>PROD016</t>
        </is>
      </c>
      <c r="D40" t="inlineStr">
        <is>
          <t>STORE002</t>
        </is>
      </c>
      <c r="E40" t="inlineStr">
        <is>
          <t>DP046</t>
        </is>
      </c>
      <c r="F40" t="inlineStr">
        <is>
          <t>2024-08-21 03:26:00</t>
        </is>
      </c>
      <c r="G40" t="inlineStr">
        <is>
          <t>2024-08-21 03:39:00</t>
        </is>
      </c>
      <c r="H40" s="14" t="n">
        <v>7</v>
      </c>
      <c r="I40" s="13" t="n">
        <v>503.41</v>
      </c>
      <c r="J40" s="13" t="n">
        <v>98.94</v>
      </c>
      <c r="K40" s="16" t="n">
        <v>13</v>
      </c>
      <c r="L40" t="inlineStr">
        <is>
          <t>Pending</t>
        </is>
      </c>
      <c r="M40" t="inlineStr">
        <is>
          <t>PAY04</t>
        </is>
      </c>
      <c r="N40" t="inlineStr">
        <is>
          <t>Morning</t>
        </is>
      </c>
      <c r="O40">
        <f>INDEX(Products_Catalog!$B$2:$B$151, MATCH(C40, Products_Catalog!$A$2:$A$151, 0))</f>
        <v/>
      </c>
      <c r="P40" s="13">
        <f>INDEX(Products_Catalog!$D$2:$D$151, MATCH(C40, Products_Catalog!$A$2:$A$151, 0))</f>
        <v/>
      </c>
      <c r="Q40" s="13">
        <f>I40-J40</f>
        <v/>
      </c>
      <c r="R40" s="15">
        <f>IF(K40&gt;20, "BREACH", "OK")</f>
        <v/>
      </c>
    </row>
    <row r="41">
      <c r="A41" t="inlineStr">
        <is>
          <t>ORD00040</t>
        </is>
      </c>
      <c r="B41" t="inlineStr">
        <is>
          <t>CUST0047</t>
        </is>
      </c>
      <c r="C41" t="inlineStr">
        <is>
          <t>PROD078</t>
        </is>
      </c>
      <c r="D41" t="inlineStr">
        <is>
          <t>STORE002</t>
        </is>
      </c>
      <c r="E41" t="inlineStr">
        <is>
          <t>DP037</t>
        </is>
      </c>
      <c r="F41" t="inlineStr">
        <is>
          <t>2024-11-14 04:17:00</t>
        </is>
      </c>
      <c r="G41" t="inlineStr">
        <is>
          <t>2024-11-14 04:31:00</t>
        </is>
      </c>
      <c r="H41" s="14" t="n">
        <v>4</v>
      </c>
      <c r="I41" s="13" t="n">
        <v>100.13</v>
      </c>
      <c r="J41" s="13" t="n">
        <v>38.37</v>
      </c>
      <c r="K41" s="16" t="n">
        <v>14</v>
      </c>
      <c r="L41" t="inlineStr">
        <is>
          <t>Delivered</t>
        </is>
      </c>
      <c r="M41" t="inlineStr">
        <is>
          <t>PAY04</t>
        </is>
      </c>
      <c r="N41" t="inlineStr">
        <is>
          <t>Morning</t>
        </is>
      </c>
      <c r="O41">
        <f>INDEX(Products_Catalog!$B$2:$B$151, MATCH(C41, Products_Catalog!$A$2:$A$151, 0))</f>
        <v/>
      </c>
      <c r="P41" s="13">
        <f>INDEX(Products_Catalog!$D$2:$D$151, MATCH(C41, Products_Catalog!$A$2:$A$151, 0))</f>
        <v/>
      </c>
      <c r="Q41" s="13">
        <f>I41-J41</f>
        <v/>
      </c>
      <c r="R41" s="15">
        <f>IF(K41&gt;20, "BREACH", "OK")</f>
        <v/>
      </c>
    </row>
    <row r="42">
      <c r="A42" t="inlineStr">
        <is>
          <t>ORD00041</t>
        </is>
      </c>
      <c r="B42" t="inlineStr">
        <is>
          <t>CUST0032</t>
        </is>
      </c>
      <c r="C42" t="inlineStr">
        <is>
          <t>PROD003</t>
        </is>
      </c>
      <c r="D42" t="inlineStr">
        <is>
          <t>STORE028</t>
        </is>
      </c>
      <c r="E42" t="inlineStr">
        <is>
          <t>DP002</t>
        </is>
      </c>
      <c r="F42" t="inlineStr">
        <is>
          <t>2024-07-11 06:41:00</t>
        </is>
      </c>
      <c r="G42" t="inlineStr">
        <is>
          <t>2024-07-11 06:56:00</t>
        </is>
      </c>
      <c r="H42" s="14" t="n">
        <v>6</v>
      </c>
      <c r="I42" s="13" t="n">
        <v>430.46</v>
      </c>
      <c r="J42" s="13" t="n">
        <v>61.94</v>
      </c>
      <c r="K42" s="16" t="n">
        <v>15</v>
      </c>
      <c r="L42" t="inlineStr">
        <is>
          <t>Pending</t>
        </is>
      </c>
      <c r="M42" t="inlineStr">
        <is>
          <t>PAY05</t>
        </is>
      </c>
      <c r="N42" t="inlineStr">
        <is>
          <t>Morning</t>
        </is>
      </c>
      <c r="O42">
        <f>INDEX(Products_Catalog!$B$2:$B$151, MATCH(C42, Products_Catalog!$A$2:$A$151, 0))</f>
        <v/>
      </c>
      <c r="P42" s="13">
        <f>INDEX(Products_Catalog!$D$2:$D$151, MATCH(C42, Products_Catalog!$A$2:$A$151, 0))</f>
        <v/>
      </c>
      <c r="Q42" s="13">
        <f>I42-J42</f>
        <v/>
      </c>
      <c r="R42" s="15">
        <f>IF(K42&gt;20, "BREACH", "OK")</f>
        <v/>
      </c>
    </row>
    <row r="43">
      <c r="A43" t="inlineStr">
        <is>
          <t>ORD00042</t>
        </is>
      </c>
      <c r="B43" t="inlineStr">
        <is>
          <t>CUST0031</t>
        </is>
      </c>
      <c r="C43" t="inlineStr">
        <is>
          <t>PROD101</t>
        </is>
      </c>
      <c r="D43" t="inlineStr">
        <is>
          <t>STORE024</t>
        </is>
      </c>
      <c r="E43" t="inlineStr">
        <is>
          <t>DP042</t>
        </is>
      </c>
      <c r="F43" t="inlineStr">
        <is>
          <t>2024-09-17 00:44:00</t>
        </is>
      </c>
      <c r="G43" t="inlineStr">
        <is>
          <t>2024-09-17 01:00:00</t>
        </is>
      </c>
      <c r="H43" s="14" t="n">
        <v>5</v>
      </c>
      <c r="I43" s="13" t="n">
        <v>627.73</v>
      </c>
      <c r="J43" s="13" t="n">
        <v>11.52</v>
      </c>
      <c r="K43" s="16" t="n">
        <v>16</v>
      </c>
      <c r="L43" t="inlineStr">
        <is>
          <t>Cancelled</t>
        </is>
      </c>
      <c r="M43" t="inlineStr">
        <is>
          <t>PAY02</t>
        </is>
      </c>
      <c r="N43" t="inlineStr">
        <is>
          <t>Morning</t>
        </is>
      </c>
      <c r="O43">
        <f>INDEX(Products_Catalog!$B$2:$B$151, MATCH(C43, Products_Catalog!$A$2:$A$151, 0))</f>
        <v/>
      </c>
      <c r="P43" s="13">
        <f>INDEX(Products_Catalog!$D$2:$D$151, MATCH(C43, Products_Catalog!$A$2:$A$151, 0))</f>
        <v/>
      </c>
      <c r="Q43" s="13">
        <f>I43-J43</f>
        <v/>
      </c>
      <c r="R43" s="15">
        <f>IF(K43&gt;20, "BREACH", "OK")</f>
        <v/>
      </c>
    </row>
    <row r="44">
      <c r="A44" t="inlineStr">
        <is>
          <t>ORD00043</t>
        </is>
      </c>
      <c r="B44" t="inlineStr">
        <is>
          <t>CUST0034</t>
        </is>
      </c>
      <c r="C44" t="inlineStr">
        <is>
          <t>PROD037</t>
        </is>
      </c>
      <c r="D44" t="inlineStr">
        <is>
          <t>STORE010</t>
        </is>
      </c>
      <c r="E44" t="inlineStr">
        <is>
          <t>DP012</t>
        </is>
      </c>
      <c r="F44" t="inlineStr">
        <is>
          <t>2024-12-18 04:15:00</t>
        </is>
      </c>
      <c r="G44" t="inlineStr">
        <is>
          <t>2024-12-18 04:32:00</t>
        </is>
      </c>
      <c r="H44" s="14" t="n">
        <v>8</v>
      </c>
      <c r="I44" s="13" t="n">
        <v>504.3</v>
      </c>
      <c r="J44" s="13" t="n">
        <v>23.87</v>
      </c>
      <c r="K44" s="16" t="n">
        <v>17</v>
      </c>
      <c r="L44" t="inlineStr">
        <is>
          <t>Delivered</t>
        </is>
      </c>
      <c r="M44" t="inlineStr">
        <is>
          <t>PAY01</t>
        </is>
      </c>
      <c r="N44" t="inlineStr">
        <is>
          <t>Morning</t>
        </is>
      </c>
      <c r="O44">
        <f>INDEX(Products_Catalog!$B$2:$B$151, MATCH(C44, Products_Catalog!$A$2:$A$151, 0))</f>
        <v/>
      </c>
      <c r="P44" s="13">
        <f>INDEX(Products_Catalog!$D$2:$D$151, MATCH(C44, Products_Catalog!$A$2:$A$151, 0))</f>
        <v/>
      </c>
      <c r="Q44" s="13">
        <f>I44-J44</f>
        <v/>
      </c>
      <c r="R44" s="15">
        <f>IF(K44&gt;20, "BREACH", "OK")</f>
        <v/>
      </c>
    </row>
    <row r="45">
      <c r="A45" t="inlineStr">
        <is>
          <t>ORD00044</t>
        </is>
      </c>
      <c r="B45" t="inlineStr">
        <is>
          <t>CUST0032</t>
        </is>
      </c>
      <c r="C45" t="inlineStr">
        <is>
          <t>PROD053</t>
        </is>
      </c>
      <c r="D45" t="inlineStr">
        <is>
          <t>STORE034</t>
        </is>
      </c>
      <c r="E45" t="inlineStr">
        <is>
          <t>DP017</t>
        </is>
      </c>
      <c r="F45" t="inlineStr">
        <is>
          <t>2024-07-03 04:48:00</t>
        </is>
      </c>
      <c r="G45" t="inlineStr">
        <is>
          <t>2024-07-03 05:06:00</t>
        </is>
      </c>
      <c r="H45" s="14" t="n">
        <v>2</v>
      </c>
      <c r="I45" s="13" t="n">
        <v>142.66</v>
      </c>
      <c r="J45" s="13" t="n">
        <v>13.81</v>
      </c>
      <c r="K45" s="16" t="n">
        <v>18</v>
      </c>
      <c r="L45" t="inlineStr">
        <is>
          <t>Delivered</t>
        </is>
      </c>
      <c r="M45" t="inlineStr">
        <is>
          <t>PAY03</t>
        </is>
      </c>
      <c r="N45" t="inlineStr">
        <is>
          <t>Morning</t>
        </is>
      </c>
      <c r="O45">
        <f>INDEX(Products_Catalog!$B$2:$B$151, MATCH(C45, Products_Catalog!$A$2:$A$151, 0))</f>
        <v/>
      </c>
      <c r="P45" s="13">
        <f>INDEX(Products_Catalog!$D$2:$D$151, MATCH(C45, Products_Catalog!$A$2:$A$151, 0))</f>
        <v/>
      </c>
      <c r="Q45" s="13">
        <f>I45-J45</f>
        <v/>
      </c>
      <c r="R45" s="15">
        <f>IF(K45&gt;20, "BREACH", "OK")</f>
        <v/>
      </c>
    </row>
    <row r="46">
      <c r="A46" t="inlineStr">
        <is>
          <t>ORD00045</t>
        </is>
      </c>
      <c r="B46" t="inlineStr">
        <is>
          <t>CUST0039</t>
        </is>
      </c>
      <c r="C46" t="inlineStr">
        <is>
          <t>PROD026</t>
        </is>
      </c>
      <c r="D46" t="inlineStr">
        <is>
          <t>STORE032</t>
        </is>
      </c>
      <c r="E46" t="inlineStr">
        <is>
          <t>DP008</t>
        </is>
      </c>
      <c r="F46" t="inlineStr">
        <is>
          <t>2024-04-18 11:26:00</t>
        </is>
      </c>
      <c r="G46" t="inlineStr">
        <is>
          <t>2024-04-18 11:45:00</t>
        </is>
      </c>
      <c r="H46" s="14" t="n">
        <v>10</v>
      </c>
      <c r="I46" s="13" t="n">
        <v>186.29</v>
      </c>
      <c r="J46" s="13" t="n">
        <v>47.59</v>
      </c>
      <c r="K46" s="16" t="n">
        <v>19</v>
      </c>
      <c r="L46" t="inlineStr">
        <is>
          <t>Cancelled</t>
        </is>
      </c>
      <c r="M46" t="inlineStr">
        <is>
          <t>PAY01</t>
        </is>
      </c>
      <c r="N46" t="inlineStr">
        <is>
          <t>Morning</t>
        </is>
      </c>
      <c r="O46">
        <f>INDEX(Products_Catalog!$B$2:$B$151, MATCH(C46, Products_Catalog!$A$2:$A$151, 0))</f>
        <v/>
      </c>
      <c r="P46" s="13">
        <f>INDEX(Products_Catalog!$D$2:$D$151, MATCH(C46, Products_Catalog!$A$2:$A$151, 0))</f>
        <v/>
      </c>
      <c r="Q46" s="13">
        <f>I46-J46</f>
        <v/>
      </c>
      <c r="R46" s="15">
        <f>IF(K46&gt;20, "BREACH", "OK")</f>
        <v/>
      </c>
    </row>
    <row r="47">
      <c r="A47" t="inlineStr">
        <is>
          <t>ORD00046</t>
        </is>
      </c>
      <c r="B47" t="inlineStr">
        <is>
          <t>CUST0043</t>
        </is>
      </c>
      <c r="C47" t="inlineStr">
        <is>
          <t>PROD127</t>
        </is>
      </c>
      <c r="D47" t="inlineStr">
        <is>
          <t>STORE043</t>
        </is>
      </c>
      <c r="E47" t="inlineStr">
        <is>
          <t>DP040</t>
        </is>
      </c>
      <c r="F47" t="inlineStr">
        <is>
          <t>2024-06-19 00:16:00</t>
        </is>
      </c>
      <c r="G47" t="inlineStr">
        <is>
          <t>2024-06-19 00:36:00</t>
        </is>
      </c>
      <c r="H47" s="14" t="n">
        <v>6</v>
      </c>
      <c r="I47" s="13" t="n">
        <v>355.59</v>
      </c>
      <c r="J47" s="13" t="n">
        <v>13.02</v>
      </c>
      <c r="K47" s="16" t="n">
        <v>20</v>
      </c>
      <c r="L47" t="inlineStr">
        <is>
          <t>Pending</t>
        </is>
      </c>
      <c r="M47" t="inlineStr">
        <is>
          <t>PAY03</t>
        </is>
      </c>
      <c r="N47" t="inlineStr">
        <is>
          <t>Morning</t>
        </is>
      </c>
      <c r="O47">
        <f>INDEX(Products_Catalog!$B$2:$B$151, MATCH(C47, Products_Catalog!$A$2:$A$151, 0))</f>
        <v/>
      </c>
      <c r="P47" s="13">
        <f>INDEX(Products_Catalog!$D$2:$D$151, MATCH(C47, Products_Catalog!$A$2:$A$151, 0))</f>
        <v/>
      </c>
      <c r="Q47" s="13">
        <f>I47-J47</f>
        <v/>
      </c>
      <c r="R47" s="15">
        <f>IF(K47&gt;20, "BREACH", "OK")</f>
        <v/>
      </c>
    </row>
    <row r="48">
      <c r="A48" t="inlineStr">
        <is>
          <t>ORD00047</t>
        </is>
      </c>
      <c r="B48" t="inlineStr">
        <is>
          <t>CUST0012</t>
        </is>
      </c>
      <c r="C48" t="inlineStr">
        <is>
          <t>PROD077</t>
        </is>
      </c>
      <c r="D48" t="inlineStr">
        <is>
          <t>STORE013</t>
        </is>
      </c>
      <c r="E48" t="inlineStr">
        <is>
          <t>DP038</t>
        </is>
      </c>
      <c r="F48" t="inlineStr">
        <is>
          <t>2024-05-20 07:45:00</t>
        </is>
      </c>
      <c r="G48" t="inlineStr">
        <is>
          <t>2024-05-20 08:06:00</t>
        </is>
      </c>
      <c r="H48" s="14" t="n">
        <v>6</v>
      </c>
      <c r="I48" s="13" t="n">
        <v>195.6</v>
      </c>
      <c r="J48" s="13" t="n">
        <v>38.15</v>
      </c>
      <c r="K48" s="16" t="n">
        <v>21</v>
      </c>
      <c r="L48" t="inlineStr">
        <is>
          <t>Pending</t>
        </is>
      </c>
      <c r="M48" t="inlineStr">
        <is>
          <t>PAY01</t>
        </is>
      </c>
      <c r="N48" t="inlineStr">
        <is>
          <t>Morning</t>
        </is>
      </c>
      <c r="O48">
        <f>INDEX(Products_Catalog!$B$2:$B$151, MATCH(C48, Products_Catalog!$A$2:$A$151, 0))</f>
        <v/>
      </c>
      <c r="P48" s="13">
        <f>INDEX(Products_Catalog!$D$2:$D$151, MATCH(C48, Products_Catalog!$A$2:$A$151, 0))</f>
        <v/>
      </c>
      <c r="Q48" s="13">
        <f>I48-J48</f>
        <v/>
      </c>
      <c r="R48" s="15">
        <f>IF(K48&gt;20, "BREACH", "OK")</f>
        <v/>
      </c>
    </row>
    <row r="49">
      <c r="A49" t="inlineStr">
        <is>
          <t>ORD00048</t>
        </is>
      </c>
      <c r="B49" t="inlineStr">
        <is>
          <t>CUST0038</t>
        </is>
      </c>
      <c r="C49" t="inlineStr">
        <is>
          <t>PROD109</t>
        </is>
      </c>
      <c r="D49" t="inlineStr">
        <is>
          <t>STORE016</t>
        </is>
      </c>
      <c r="E49" t="inlineStr">
        <is>
          <t>DP022</t>
        </is>
      </c>
      <c r="F49" t="inlineStr">
        <is>
          <t>2024-05-31 05:03:00</t>
        </is>
      </c>
      <c r="G49" t="inlineStr">
        <is>
          <t>2024-05-31 05:25:00</t>
        </is>
      </c>
      <c r="H49" s="14" t="n">
        <v>8</v>
      </c>
      <c r="I49" s="13" t="n">
        <v>106.29</v>
      </c>
      <c r="J49" s="13" t="n">
        <v>74.41</v>
      </c>
      <c r="K49" s="16" t="n">
        <v>22</v>
      </c>
      <c r="L49" t="inlineStr">
        <is>
          <t>Delivered</t>
        </is>
      </c>
      <c r="M49" t="inlineStr">
        <is>
          <t>PAY03</t>
        </is>
      </c>
      <c r="N49" t="inlineStr">
        <is>
          <t>Morning</t>
        </is>
      </c>
      <c r="O49">
        <f>INDEX(Products_Catalog!$B$2:$B$151, MATCH(C49, Products_Catalog!$A$2:$A$151, 0))</f>
        <v/>
      </c>
      <c r="P49" s="13">
        <f>INDEX(Products_Catalog!$D$2:$D$151, MATCH(C49, Products_Catalog!$A$2:$A$151, 0))</f>
        <v/>
      </c>
      <c r="Q49" s="13">
        <f>I49-J49</f>
        <v/>
      </c>
      <c r="R49" s="15">
        <f>IF(K49&gt;20, "BREACH", "OK")</f>
        <v/>
      </c>
    </row>
    <row r="50">
      <c r="A50" t="inlineStr">
        <is>
          <t>ORD00049</t>
        </is>
      </c>
      <c r="B50" t="inlineStr">
        <is>
          <t>CUST0023</t>
        </is>
      </c>
      <c r="C50" t="inlineStr">
        <is>
          <t>PROD036</t>
        </is>
      </c>
      <c r="D50" t="inlineStr">
        <is>
          <t>STORE028</t>
        </is>
      </c>
      <c r="E50" t="inlineStr">
        <is>
          <t>DP038</t>
        </is>
      </c>
      <c r="F50" t="inlineStr">
        <is>
          <t>2024-11-18 03:51:00</t>
        </is>
      </c>
      <c r="G50" t="inlineStr">
        <is>
          <t>2024-11-18 04:14:00</t>
        </is>
      </c>
      <c r="H50" s="14" t="n">
        <v>10</v>
      </c>
      <c r="I50" s="13" t="n">
        <v>340.05</v>
      </c>
      <c r="J50" s="13" t="n">
        <v>56.73</v>
      </c>
      <c r="K50" s="16" t="n">
        <v>23</v>
      </c>
      <c r="L50" t="inlineStr">
        <is>
          <t>Shipped</t>
        </is>
      </c>
      <c r="M50" t="inlineStr">
        <is>
          <t>PAY03</t>
        </is>
      </c>
      <c r="N50" t="inlineStr">
        <is>
          <t>Morning</t>
        </is>
      </c>
      <c r="O50">
        <f>INDEX(Products_Catalog!$B$2:$B$151, MATCH(C50, Products_Catalog!$A$2:$A$151, 0))</f>
        <v/>
      </c>
      <c r="P50" s="13">
        <f>INDEX(Products_Catalog!$D$2:$D$151, MATCH(C50, Products_Catalog!$A$2:$A$151, 0))</f>
        <v/>
      </c>
      <c r="Q50" s="13">
        <f>I50-J50</f>
        <v/>
      </c>
      <c r="R50" s="15">
        <f>IF(K50&gt;20, "BREACH", "OK")</f>
        <v/>
      </c>
    </row>
    <row r="51">
      <c r="A51" t="inlineStr">
        <is>
          <t>ORD00050</t>
        </is>
      </c>
      <c r="B51" t="inlineStr">
        <is>
          <t>CUST0022</t>
        </is>
      </c>
      <c r="C51" t="inlineStr">
        <is>
          <t>PROD125</t>
        </is>
      </c>
      <c r="D51" t="inlineStr">
        <is>
          <t>STORE037</t>
        </is>
      </c>
      <c r="E51" t="inlineStr">
        <is>
          <t>DP044</t>
        </is>
      </c>
      <c r="F51" t="inlineStr">
        <is>
          <t>2024-07-09 09:52:00</t>
        </is>
      </c>
      <c r="G51" t="inlineStr">
        <is>
          <t>2024-07-09 10:16:00</t>
        </is>
      </c>
      <c r="H51" s="14" t="n">
        <v>6</v>
      </c>
      <c r="I51" s="13" t="n">
        <v>386.79</v>
      </c>
      <c r="J51" s="13" t="n">
        <v>3.64</v>
      </c>
      <c r="K51" s="16" t="n">
        <v>24</v>
      </c>
      <c r="L51" t="inlineStr">
        <is>
          <t>Shipped</t>
        </is>
      </c>
      <c r="M51" t="inlineStr">
        <is>
          <t>PAY02</t>
        </is>
      </c>
      <c r="N51" t="inlineStr">
        <is>
          <t>Morning</t>
        </is>
      </c>
      <c r="O51">
        <f>INDEX(Products_Catalog!$B$2:$B$151, MATCH(C51, Products_Catalog!$A$2:$A$151, 0))</f>
        <v/>
      </c>
      <c r="P51" s="13">
        <f>INDEX(Products_Catalog!$D$2:$D$151, MATCH(C51, Products_Catalog!$A$2:$A$151, 0))</f>
        <v/>
      </c>
      <c r="Q51" s="13">
        <f>I51-J51</f>
        <v/>
      </c>
      <c r="R51" s="15">
        <f>IF(K51&gt;20, "BREACH", "OK")</f>
        <v/>
      </c>
    </row>
    <row r="52">
      <c r="A52" t="inlineStr">
        <is>
          <t>ORD00051</t>
        </is>
      </c>
      <c r="B52" t="inlineStr">
        <is>
          <t>CUST0048</t>
        </is>
      </c>
      <c r="C52" t="inlineStr">
        <is>
          <t>PROD140</t>
        </is>
      </c>
      <c r="D52" t="inlineStr">
        <is>
          <t>STORE007</t>
        </is>
      </c>
      <c r="E52" t="inlineStr">
        <is>
          <t>DP008</t>
        </is>
      </c>
      <c r="F52" t="inlineStr">
        <is>
          <t>2024-07-28 06:06:00</t>
        </is>
      </c>
      <c r="G52" t="inlineStr">
        <is>
          <t>2024-07-28 06:31:00</t>
        </is>
      </c>
      <c r="H52" s="14" t="n">
        <v>7</v>
      </c>
      <c r="I52" s="13" t="n">
        <v>650.86</v>
      </c>
      <c r="J52" s="13" t="n">
        <v>16.08</v>
      </c>
      <c r="K52" s="16" t="n">
        <v>25</v>
      </c>
      <c r="L52" t="inlineStr">
        <is>
          <t>Shipped</t>
        </is>
      </c>
      <c r="M52" t="inlineStr">
        <is>
          <t>PAY05</t>
        </is>
      </c>
      <c r="N52" t="inlineStr">
        <is>
          <t>Morning</t>
        </is>
      </c>
      <c r="O52">
        <f>INDEX(Products_Catalog!$B$2:$B$151, MATCH(C52, Products_Catalog!$A$2:$A$151, 0))</f>
        <v/>
      </c>
      <c r="P52" s="13">
        <f>INDEX(Products_Catalog!$D$2:$D$151, MATCH(C52, Products_Catalog!$A$2:$A$151, 0))</f>
        <v/>
      </c>
      <c r="Q52" s="13">
        <f>I52-J52</f>
        <v/>
      </c>
      <c r="R52" s="15">
        <f>IF(K52&gt;20, "BREACH", "OK")</f>
        <v/>
      </c>
    </row>
    <row r="53">
      <c r="A53" t="inlineStr">
        <is>
          <t>ORD00052</t>
        </is>
      </c>
      <c r="B53" t="inlineStr">
        <is>
          <t>CUST0002</t>
        </is>
      </c>
      <c r="C53" t="inlineStr">
        <is>
          <t>PROD094</t>
        </is>
      </c>
      <c r="D53" t="inlineStr">
        <is>
          <t>STORE015</t>
        </is>
      </c>
      <c r="E53" t="inlineStr">
        <is>
          <t>DP002</t>
        </is>
      </c>
      <c r="F53" t="inlineStr">
        <is>
          <t>2024-10-29 01:30:00</t>
        </is>
      </c>
      <c r="G53" t="inlineStr">
        <is>
          <t>2024-10-29 01:56:00</t>
        </is>
      </c>
      <c r="H53" s="14" t="n">
        <v>1</v>
      </c>
      <c r="I53" s="13" t="n">
        <v>640.73</v>
      </c>
      <c r="J53" s="13" t="n">
        <v>41.14</v>
      </c>
      <c r="K53" s="16" t="n">
        <v>26</v>
      </c>
      <c r="L53" t="inlineStr">
        <is>
          <t>Cancelled</t>
        </is>
      </c>
      <c r="M53" t="inlineStr">
        <is>
          <t>PAY05</t>
        </is>
      </c>
      <c r="N53" t="inlineStr">
        <is>
          <t>Morning</t>
        </is>
      </c>
      <c r="O53">
        <f>INDEX(Products_Catalog!$B$2:$B$151, MATCH(C53, Products_Catalog!$A$2:$A$151, 0))</f>
        <v/>
      </c>
      <c r="P53" s="13">
        <f>INDEX(Products_Catalog!$D$2:$D$151, MATCH(C53, Products_Catalog!$A$2:$A$151, 0))</f>
        <v/>
      </c>
      <c r="Q53" s="13">
        <f>I53-J53</f>
        <v/>
      </c>
      <c r="R53" s="15">
        <f>IF(K53&gt;20, "BREACH", "OK")</f>
        <v/>
      </c>
    </row>
    <row r="54">
      <c r="A54" t="inlineStr">
        <is>
          <t>ORD00053</t>
        </is>
      </c>
      <c r="B54" t="inlineStr">
        <is>
          <t>CUST0004</t>
        </is>
      </c>
      <c r="C54" t="inlineStr">
        <is>
          <t>PROD118</t>
        </is>
      </c>
      <c r="D54" t="inlineStr">
        <is>
          <t>STORE029</t>
        </is>
      </c>
      <c r="E54" t="inlineStr">
        <is>
          <t>DP028</t>
        </is>
      </c>
      <c r="F54" t="inlineStr">
        <is>
          <t>2024-03-08 05:32:00</t>
        </is>
      </c>
      <c r="G54" t="inlineStr">
        <is>
          <t>2024-03-08 05:59:00</t>
        </is>
      </c>
      <c r="H54" s="14" t="n">
        <v>10</v>
      </c>
      <c r="I54" s="13" t="n">
        <v>255.19</v>
      </c>
      <c r="J54" s="13" t="n">
        <v>14.86</v>
      </c>
      <c r="K54" s="16" t="n">
        <v>27</v>
      </c>
      <c r="L54" t="inlineStr">
        <is>
          <t>Cancelled</t>
        </is>
      </c>
      <c r="M54" t="inlineStr">
        <is>
          <t>PAY05</t>
        </is>
      </c>
      <c r="N54" t="inlineStr">
        <is>
          <t>Morning</t>
        </is>
      </c>
      <c r="O54">
        <f>INDEX(Products_Catalog!$B$2:$B$151, MATCH(C54, Products_Catalog!$A$2:$A$151, 0))</f>
        <v/>
      </c>
      <c r="P54" s="13">
        <f>INDEX(Products_Catalog!$D$2:$D$151, MATCH(C54, Products_Catalog!$A$2:$A$151, 0))</f>
        <v/>
      </c>
      <c r="Q54" s="13">
        <f>I54-J54</f>
        <v/>
      </c>
      <c r="R54" s="15">
        <f>IF(K54&gt;20, "BREACH", "OK")</f>
        <v/>
      </c>
    </row>
    <row r="55">
      <c r="A55" t="inlineStr">
        <is>
          <t>ORD00054</t>
        </is>
      </c>
      <c r="B55" t="inlineStr">
        <is>
          <t>CUST0019</t>
        </is>
      </c>
      <c r="C55" t="inlineStr">
        <is>
          <t>PROD087</t>
        </is>
      </c>
      <c r="D55" t="inlineStr">
        <is>
          <t>STORE036</t>
        </is>
      </c>
      <c r="E55" t="inlineStr">
        <is>
          <t>DP004</t>
        </is>
      </c>
      <c r="F55" t="inlineStr">
        <is>
          <t>2024-03-07 05:36:00</t>
        </is>
      </c>
      <c r="G55" t="inlineStr">
        <is>
          <t>2024-03-07 06:04:00</t>
        </is>
      </c>
      <c r="H55" s="14" t="n">
        <v>4</v>
      </c>
      <c r="I55" s="13" t="n">
        <v>629.97</v>
      </c>
      <c r="J55" s="13" t="n">
        <v>78.66</v>
      </c>
      <c r="K55" s="16" t="n">
        <v>28</v>
      </c>
      <c r="L55" t="inlineStr">
        <is>
          <t>Pending</t>
        </is>
      </c>
      <c r="M55" t="inlineStr">
        <is>
          <t>PAY04</t>
        </is>
      </c>
      <c r="N55" t="inlineStr">
        <is>
          <t>Morning</t>
        </is>
      </c>
      <c r="O55">
        <f>INDEX(Products_Catalog!$B$2:$B$151, MATCH(C55, Products_Catalog!$A$2:$A$151, 0))</f>
        <v/>
      </c>
      <c r="P55" s="13">
        <f>INDEX(Products_Catalog!$D$2:$D$151, MATCH(C55, Products_Catalog!$A$2:$A$151, 0))</f>
        <v/>
      </c>
      <c r="Q55" s="13">
        <f>I55-J55</f>
        <v/>
      </c>
      <c r="R55" s="15">
        <f>IF(K55&gt;20, "BREACH", "OK")</f>
        <v/>
      </c>
    </row>
    <row r="56">
      <c r="A56" t="inlineStr">
        <is>
          <t>ORD00055</t>
        </is>
      </c>
      <c r="B56" t="inlineStr">
        <is>
          <t>CUST0028</t>
        </is>
      </c>
      <c r="C56" t="inlineStr">
        <is>
          <t>PROD075</t>
        </is>
      </c>
      <c r="D56" t="inlineStr">
        <is>
          <t>STORE008</t>
        </is>
      </c>
      <c r="E56" t="inlineStr">
        <is>
          <t>DP005</t>
        </is>
      </c>
      <c r="F56" t="inlineStr">
        <is>
          <t>2024-01-02 00:22:00</t>
        </is>
      </c>
      <c r="G56" t="inlineStr">
        <is>
          <t>2024-01-02 00:51:00</t>
        </is>
      </c>
      <c r="H56" s="14" t="n">
        <v>5</v>
      </c>
      <c r="I56" s="13" t="n">
        <v>663.84</v>
      </c>
      <c r="J56" s="13" t="n">
        <v>22.87</v>
      </c>
      <c r="K56" s="16" t="n">
        <v>29</v>
      </c>
      <c r="L56" t="inlineStr">
        <is>
          <t>Shipped</t>
        </is>
      </c>
      <c r="M56" t="inlineStr">
        <is>
          <t>PAY03</t>
        </is>
      </c>
      <c r="N56" t="inlineStr">
        <is>
          <t>Morning</t>
        </is>
      </c>
      <c r="O56">
        <f>INDEX(Products_Catalog!$B$2:$B$151, MATCH(C56, Products_Catalog!$A$2:$A$151, 0))</f>
        <v/>
      </c>
      <c r="P56" s="13">
        <f>INDEX(Products_Catalog!$D$2:$D$151, MATCH(C56, Products_Catalog!$A$2:$A$151, 0))</f>
        <v/>
      </c>
      <c r="Q56" s="13">
        <f>I56-J56</f>
        <v/>
      </c>
      <c r="R56" s="15">
        <f>IF(K56&gt;20, "BREACH", "OK")</f>
        <v/>
      </c>
    </row>
    <row r="57">
      <c r="A57" t="inlineStr">
        <is>
          <t>ORD00056</t>
        </is>
      </c>
      <c r="B57" t="inlineStr">
        <is>
          <t>CUST0040</t>
        </is>
      </c>
      <c r="C57" t="inlineStr">
        <is>
          <t>PROD131</t>
        </is>
      </c>
      <c r="D57" t="inlineStr">
        <is>
          <t>STORE024</t>
        </is>
      </c>
      <c r="E57" t="inlineStr">
        <is>
          <t>DP018</t>
        </is>
      </c>
      <c r="F57" t="inlineStr">
        <is>
          <t>2024-09-10 00:31:00</t>
        </is>
      </c>
      <c r="G57" t="inlineStr">
        <is>
          <t>2024-09-10 01:01:00</t>
        </is>
      </c>
      <c r="H57" s="14" t="n">
        <v>3</v>
      </c>
      <c r="I57" s="13" t="n">
        <v>593.9</v>
      </c>
      <c r="J57" s="13" t="n">
        <v>97.66</v>
      </c>
      <c r="K57" s="16" t="n">
        <v>30</v>
      </c>
      <c r="L57" t="inlineStr">
        <is>
          <t>Pending</t>
        </is>
      </c>
      <c r="M57" t="inlineStr">
        <is>
          <t>PAY05</t>
        </is>
      </c>
      <c r="N57" t="inlineStr">
        <is>
          <t>Morning</t>
        </is>
      </c>
      <c r="O57">
        <f>INDEX(Products_Catalog!$B$2:$B$151, MATCH(C57, Products_Catalog!$A$2:$A$151, 0))</f>
        <v/>
      </c>
      <c r="P57" s="13">
        <f>INDEX(Products_Catalog!$D$2:$D$151, MATCH(C57, Products_Catalog!$A$2:$A$151, 0))</f>
        <v/>
      </c>
      <c r="Q57" s="13">
        <f>I57-J57</f>
        <v/>
      </c>
      <c r="R57" s="15">
        <f>IF(K57&gt;20, "BREACH", "OK")</f>
        <v/>
      </c>
    </row>
    <row r="58">
      <c r="A58" t="inlineStr">
        <is>
          <t>ORD00057</t>
        </is>
      </c>
      <c r="B58" t="inlineStr">
        <is>
          <t>CUST0009</t>
        </is>
      </c>
      <c r="C58" t="inlineStr">
        <is>
          <t>PROD023</t>
        </is>
      </c>
      <c r="D58" t="inlineStr">
        <is>
          <t>STORE009</t>
        </is>
      </c>
      <c r="E58" t="inlineStr">
        <is>
          <t>DP047</t>
        </is>
      </c>
      <c r="F58" t="inlineStr">
        <is>
          <t>2024-01-02 04:11:00</t>
        </is>
      </c>
      <c r="G58" t="inlineStr">
        <is>
          <t>2024-01-02 04:21:00</t>
        </is>
      </c>
      <c r="H58" s="14" t="n">
        <v>1</v>
      </c>
      <c r="I58" s="13" t="n">
        <v>240.34</v>
      </c>
      <c r="J58" s="13" t="n">
        <v>44.59</v>
      </c>
      <c r="K58" s="16" t="n">
        <v>10</v>
      </c>
      <c r="L58" t="inlineStr">
        <is>
          <t>Delivered</t>
        </is>
      </c>
      <c r="M58" t="inlineStr">
        <is>
          <t>PAY01</t>
        </is>
      </c>
      <c r="N58" t="inlineStr">
        <is>
          <t>Morning</t>
        </is>
      </c>
      <c r="O58">
        <f>INDEX(Products_Catalog!$B$2:$B$151, MATCH(C58, Products_Catalog!$A$2:$A$151, 0))</f>
        <v/>
      </c>
      <c r="P58" s="13">
        <f>INDEX(Products_Catalog!$D$2:$D$151, MATCH(C58, Products_Catalog!$A$2:$A$151, 0))</f>
        <v/>
      </c>
      <c r="Q58" s="13">
        <f>I58-J58</f>
        <v/>
      </c>
      <c r="R58" s="15">
        <f>IF(K58&gt;20, "BREACH", "OK")</f>
        <v/>
      </c>
    </row>
    <row r="59">
      <c r="A59" t="inlineStr">
        <is>
          <t>ORD00058</t>
        </is>
      </c>
      <c r="B59" t="inlineStr">
        <is>
          <t>CUST0020</t>
        </is>
      </c>
      <c r="C59" t="inlineStr">
        <is>
          <t>PROD079</t>
        </is>
      </c>
      <c r="D59" t="inlineStr">
        <is>
          <t>STORE006</t>
        </is>
      </c>
      <c r="E59" t="inlineStr">
        <is>
          <t>DP040</t>
        </is>
      </c>
      <c r="F59" t="inlineStr">
        <is>
          <t>2024-03-29 01:02:00</t>
        </is>
      </c>
      <c r="G59" t="inlineStr">
        <is>
          <t>2024-03-29 01:13:00</t>
        </is>
      </c>
      <c r="H59" s="14" t="n">
        <v>6</v>
      </c>
      <c r="I59" s="13" t="n">
        <v>321.33</v>
      </c>
      <c r="J59" s="13" t="n">
        <v>34.66</v>
      </c>
      <c r="K59" s="16" t="n">
        <v>11</v>
      </c>
      <c r="L59" t="inlineStr">
        <is>
          <t>Cancelled</t>
        </is>
      </c>
      <c r="M59" t="inlineStr">
        <is>
          <t>PAY01</t>
        </is>
      </c>
      <c r="N59" t="inlineStr">
        <is>
          <t>Morning</t>
        </is>
      </c>
      <c r="O59">
        <f>INDEX(Products_Catalog!$B$2:$B$151, MATCH(C59, Products_Catalog!$A$2:$A$151, 0))</f>
        <v/>
      </c>
      <c r="P59" s="13">
        <f>INDEX(Products_Catalog!$D$2:$D$151, MATCH(C59, Products_Catalog!$A$2:$A$151, 0))</f>
        <v/>
      </c>
      <c r="Q59" s="13">
        <f>I59-J59</f>
        <v/>
      </c>
      <c r="R59" s="15">
        <f>IF(K59&gt;20, "BREACH", "OK")</f>
        <v/>
      </c>
    </row>
    <row r="60">
      <c r="A60" t="inlineStr">
        <is>
          <t>ORD00059</t>
        </is>
      </c>
      <c r="B60" t="inlineStr">
        <is>
          <t>CUST0013</t>
        </is>
      </c>
      <c r="C60" t="inlineStr">
        <is>
          <t>PROD058</t>
        </is>
      </c>
      <c r="D60" t="inlineStr">
        <is>
          <t>STORE023</t>
        </is>
      </c>
      <c r="E60" t="inlineStr">
        <is>
          <t>DP008</t>
        </is>
      </c>
      <c r="F60" t="inlineStr">
        <is>
          <t>2024-12-28 07:12:00</t>
        </is>
      </c>
      <c r="G60" t="inlineStr">
        <is>
          <t>2024-12-28 07:24:00</t>
        </is>
      </c>
      <c r="H60" s="14" t="n">
        <v>10</v>
      </c>
      <c r="I60" s="13" t="n">
        <v>200.7</v>
      </c>
      <c r="J60" s="13" t="n">
        <v>6.23</v>
      </c>
      <c r="K60" s="16" t="n">
        <v>12</v>
      </c>
      <c r="L60" t="inlineStr">
        <is>
          <t>Shipped</t>
        </is>
      </c>
      <c r="M60" t="inlineStr">
        <is>
          <t>PAY02</t>
        </is>
      </c>
      <c r="N60" t="inlineStr">
        <is>
          <t>Morning</t>
        </is>
      </c>
      <c r="O60">
        <f>INDEX(Products_Catalog!$B$2:$B$151, MATCH(C60, Products_Catalog!$A$2:$A$151, 0))</f>
        <v/>
      </c>
      <c r="P60" s="13">
        <f>INDEX(Products_Catalog!$D$2:$D$151, MATCH(C60, Products_Catalog!$A$2:$A$151, 0))</f>
        <v/>
      </c>
      <c r="Q60" s="13">
        <f>I60-J60</f>
        <v/>
      </c>
      <c r="R60" s="15">
        <f>IF(K60&gt;20, "BREACH", "OK")</f>
        <v/>
      </c>
    </row>
    <row r="61">
      <c r="A61" t="inlineStr">
        <is>
          <t>ORD00060</t>
        </is>
      </c>
      <c r="B61" t="inlineStr">
        <is>
          <t>CUST0017</t>
        </is>
      </c>
      <c r="C61" t="inlineStr">
        <is>
          <t>PROD050</t>
        </is>
      </c>
      <c r="D61" t="inlineStr">
        <is>
          <t>STORE033</t>
        </is>
      </c>
      <c r="E61" t="inlineStr">
        <is>
          <t>DP029</t>
        </is>
      </c>
      <c r="F61" t="inlineStr">
        <is>
          <t>2024-02-23 07:56:00</t>
        </is>
      </c>
      <c r="G61" t="inlineStr">
        <is>
          <t>2024-02-23 08:09:00</t>
        </is>
      </c>
      <c r="H61" s="14" t="n">
        <v>4</v>
      </c>
      <c r="I61" s="13" t="n">
        <v>977.26</v>
      </c>
      <c r="J61" s="13" t="n">
        <v>64.81</v>
      </c>
      <c r="K61" s="16" t="n">
        <v>13</v>
      </c>
      <c r="L61" t="inlineStr">
        <is>
          <t>Delivered</t>
        </is>
      </c>
      <c r="M61" t="inlineStr">
        <is>
          <t>PAY05</t>
        </is>
      </c>
      <c r="N61" t="inlineStr">
        <is>
          <t>Morning</t>
        </is>
      </c>
      <c r="O61">
        <f>INDEX(Products_Catalog!$B$2:$B$151, MATCH(C61, Products_Catalog!$A$2:$A$151, 0))</f>
        <v/>
      </c>
      <c r="P61" s="13">
        <f>INDEX(Products_Catalog!$D$2:$D$151, MATCH(C61, Products_Catalog!$A$2:$A$151, 0))</f>
        <v/>
      </c>
      <c r="Q61" s="13">
        <f>I61-J61</f>
        <v/>
      </c>
      <c r="R61" s="15">
        <f>IF(K61&gt;20, "BREACH", "OK")</f>
        <v/>
      </c>
    </row>
    <row r="62">
      <c r="A62" t="inlineStr">
        <is>
          <t>ORD00061</t>
        </is>
      </c>
      <c r="B62" t="inlineStr">
        <is>
          <t>CUST0001</t>
        </is>
      </c>
      <c r="C62" t="inlineStr">
        <is>
          <t>PROD012</t>
        </is>
      </c>
      <c r="D62" t="inlineStr">
        <is>
          <t>STORE038</t>
        </is>
      </c>
      <c r="E62" t="inlineStr">
        <is>
          <t>DP037</t>
        </is>
      </c>
      <c r="F62" t="inlineStr">
        <is>
          <t>2024-06-27 08:28:00</t>
        </is>
      </c>
      <c r="G62" t="inlineStr">
        <is>
          <t>2024-06-27 08:42:00</t>
        </is>
      </c>
      <c r="H62" s="14" t="n">
        <v>9</v>
      </c>
      <c r="I62" s="13" t="n">
        <v>313.27</v>
      </c>
      <c r="J62" s="13" t="n">
        <v>96.56</v>
      </c>
      <c r="K62" s="16" t="n">
        <v>14</v>
      </c>
      <c r="L62" t="inlineStr">
        <is>
          <t>Shipped</t>
        </is>
      </c>
      <c r="M62" t="inlineStr">
        <is>
          <t>PAY05</t>
        </is>
      </c>
      <c r="N62" t="inlineStr">
        <is>
          <t>Morning</t>
        </is>
      </c>
      <c r="O62">
        <f>INDEX(Products_Catalog!$B$2:$B$151, MATCH(C62, Products_Catalog!$A$2:$A$151, 0))</f>
        <v/>
      </c>
      <c r="P62" s="13">
        <f>INDEX(Products_Catalog!$D$2:$D$151, MATCH(C62, Products_Catalog!$A$2:$A$151, 0))</f>
        <v/>
      </c>
      <c r="Q62" s="13">
        <f>I62-J62</f>
        <v/>
      </c>
      <c r="R62" s="15">
        <f>IF(K62&gt;20, "BREACH", "OK")</f>
        <v/>
      </c>
    </row>
    <row r="63">
      <c r="A63" t="inlineStr">
        <is>
          <t>ORD00062</t>
        </is>
      </c>
      <c r="B63" t="inlineStr">
        <is>
          <t>CUST0035</t>
        </is>
      </c>
      <c r="C63" t="inlineStr">
        <is>
          <t>PROD029</t>
        </is>
      </c>
      <c r="D63" t="inlineStr">
        <is>
          <t>STORE048</t>
        </is>
      </c>
      <c r="E63" t="inlineStr">
        <is>
          <t>DP005</t>
        </is>
      </c>
      <c r="F63" t="inlineStr">
        <is>
          <t>2024-05-31 09:06:00</t>
        </is>
      </c>
      <c r="G63" t="inlineStr">
        <is>
          <t>2024-05-31 09:21:00</t>
        </is>
      </c>
      <c r="H63" s="14" t="n">
        <v>9</v>
      </c>
      <c r="I63" s="13" t="n">
        <v>176.8</v>
      </c>
      <c r="J63" s="13" t="n">
        <v>88.48</v>
      </c>
      <c r="K63" s="16" t="n">
        <v>15</v>
      </c>
      <c r="L63" t="inlineStr">
        <is>
          <t>Cancelled</t>
        </is>
      </c>
      <c r="M63" t="inlineStr">
        <is>
          <t>PAY02</t>
        </is>
      </c>
      <c r="N63" t="inlineStr">
        <is>
          <t>Morning</t>
        </is>
      </c>
      <c r="O63">
        <f>INDEX(Products_Catalog!$B$2:$B$151, MATCH(C63, Products_Catalog!$A$2:$A$151, 0))</f>
        <v/>
      </c>
      <c r="P63" s="13">
        <f>INDEX(Products_Catalog!$D$2:$D$151, MATCH(C63, Products_Catalog!$A$2:$A$151, 0))</f>
        <v/>
      </c>
      <c r="Q63" s="13">
        <f>I63-J63</f>
        <v/>
      </c>
      <c r="R63" s="15">
        <f>IF(K63&gt;20, "BREACH", "OK")</f>
        <v/>
      </c>
    </row>
    <row r="64">
      <c r="A64" t="inlineStr">
        <is>
          <t>ORD00063</t>
        </is>
      </c>
      <c r="B64" t="inlineStr">
        <is>
          <t>CUST0006</t>
        </is>
      </c>
      <c r="C64" t="inlineStr">
        <is>
          <t>PROD064</t>
        </is>
      </c>
      <c r="D64" t="inlineStr">
        <is>
          <t>STORE019</t>
        </is>
      </c>
      <c r="E64" t="inlineStr">
        <is>
          <t>DP040</t>
        </is>
      </c>
      <c r="F64" t="inlineStr">
        <is>
          <t>2024-07-14 02:30:00</t>
        </is>
      </c>
      <c r="G64" t="inlineStr">
        <is>
          <t>2024-07-14 02:46:00</t>
        </is>
      </c>
      <c r="H64" s="14" t="n">
        <v>2</v>
      </c>
      <c r="I64" s="13" t="n">
        <v>443.95</v>
      </c>
      <c r="J64" s="13" t="n">
        <v>55.44</v>
      </c>
      <c r="K64" s="16" t="n">
        <v>16</v>
      </c>
      <c r="L64" t="inlineStr">
        <is>
          <t>Shipped</t>
        </is>
      </c>
      <c r="M64" t="inlineStr">
        <is>
          <t>PAY03</t>
        </is>
      </c>
      <c r="N64" t="inlineStr">
        <is>
          <t>Morning</t>
        </is>
      </c>
      <c r="O64">
        <f>INDEX(Products_Catalog!$B$2:$B$151, MATCH(C64, Products_Catalog!$A$2:$A$151, 0))</f>
        <v/>
      </c>
      <c r="P64" s="13">
        <f>INDEX(Products_Catalog!$D$2:$D$151, MATCH(C64, Products_Catalog!$A$2:$A$151, 0))</f>
        <v/>
      </c>
      <c r="Q64" s="13">
        <f>I64-J64</f>
        <v/>
      </c>
      <c r="R64" s="15">
        <f>IF(K64&gt;20, "BREACH", "OK")</f>
        <v/>
      </c>
    </row>
    <row r="65">
      <c r="A65" t="inlineStr">
        <is>
          <t>ORD00064</t>
        </is>
      </c>
      <c r="B65" t="inlineStr">
        <is>
          <t>CUST0037</t>
        </is>
      </c>
      <c r="C65" t="inlineStr">
        <is>
          <t>PROD147</t>
        </is>
      </c>
      <c r="D65" t="inlineStr">
        <is>
          <t>STORE002</t>
        </is>
      </c>
      <c r="E65" t="inlineStr">
        <is>
          <t>DP030</t>
        </is>
      </c>
      <c r="F65" t="inlineStr">
        <is>
          <t>2024-11-26 11:05:00</t>
        </is>
      </c>
      <c r="G65" t="inlineStr">
        <is>
          <t>2024-11-26 11:22:00</t>
        </is>
      </c>
      <c r="H65" s="14" t="n">
        <v>1</v>
      </c>
      <c r="I65" s="13" t="n">
        <v>984.97</v>
      </c>
      <c r="J65" s="13" t="n">
        <v>61.9</v>
      </c>
      <c r="K65" s="16" t="n">
        <v>17</v>
      </c>
      <c r="L65" t="inlineStr">
        <is>
          <t>Pending</t>
        </is>
      </c>
      <c r="M65" t="inlineStr">
        <is>
          <t>PAY03</t>
        </is>
      </c>
      <c r="N65" t="inlineStr">
        <is>
          <t>Morning</t>
        </is>
      </c>
      <c r="O65">
        <f>INDEX(Products_Catalog!$B$2:$B$151, MATCH(C65, Products_Catalog!$A$2:$A$151, 0))</f>
        <v/>
      </c>
      <c r="P65" s="13">
        <f>INDEX(Products_Catalog!$D$2:$D$151, MATCH(C65, Products_Catalog!$A$2:$A$151, 0))</f>
        <v/>
      </c>
      <c r="Q65" s="13">
        <f>I65-J65</f>
        <v/>
      </c>
      <c r="R65" s="15">
        <f>IF(K65&gt;20, "BREACH", "OK")</f>
        <v/>
      </c>
    </row>
    <row r="66">
      <c r="A66" t="inlineStr">
        <is>
          <t>ORD00065</t>
        </is>
      </c>
      <c r="B66" t="inlineStr">
        <is>
          <t>CUST0045</t>
        </is>
      </c>
      <c r="C66" t="inlineStr">
        <is>
          <t>PROD149</t>
        </is>
      </c>
      <c r="D66" t="inlineStr">
        <is>
          <t>STORE041</t>
        </is>
      </c>
      <c r="E66" t="inlineStr">
        <is>
          <t>DP044</t>
        </is>
      </c>
      <c r="F66" t="inlineStr">
        <is>
          <t>2024-05-30 05:20:00</t>
        </is>
      </c>
      <c r="G66" t="inlineStr">
        <is>
          <t>2024-05-30 05:38:00</t>
        </is>
      </c>
      <c r="H66" s="14" t="n">
        <v>5</v>
      </c>
      <c r="I66" s="13" t="n">
        <v>469.21</v>
      </c>
      <c r="J66" s="13" t="n">
        <v>92.31</v>
      </c>
      <c r="K66" s="16" t="n">
        <v>18</v>
      </c>
      <c r="L66" t="inlineStr">
        <is>
          <t>Cancelled</t>
        </is>
      </c>
      <c r="M66" t="inlineStr">
        <is>
          <t>PAY01</t>
        </is>
      </c>
      <c r="N66" t="inlineStr">
        <is>
          <t>Morning</t>
        </is>
      </c>
      <c r="O66">
        <f>INDEX(Products_Catalog!$B$2:$B$151, MATCH(C66, Products_Catalog!$A$2:$A$151, 0))</f>
        <v/>
      </c>
      <c r="P66" s="13">
        <f>INDEX(Products_Catalog!$D$2:$D$151, MATCH(C66, Products_Catalog!$A$2:$A$151, 0))</f>
        <v/>
      </c>
      <c r="Q66" s="13">
        <f>I66-J66</f>
        <v/>
      </c>
      <c r="R66" s="15">
        <f>IF(K66&gt;20, "BREACH", "OK")</f>
        <v/>
      </c>
    </row>
    <row r="67">
      <c r="A67" t="inlineStr">
        <is>
          <t>ORD00066</t>
        </is>
      </c>
      <c r="B67" t="inlineStr">
        <is>
          <t>CUST0011</t>
        </is>
      </c>
      <c r="C67" t="inlineStr">
        <is>
          <t>PROD017</t>
        </is>
      </c>
      <c r="D67" t="inlineStr">
        <is>
          <t>STORE038</t>
        </is>
      </c>
      <c r="E67" t="inlineStr">
        <is>
          <t>DP038</t>
        </is>
      </c>
      <c r="F67" t="inlineStr">
        <is>
          <t>2024-04-05 11:17:00</t>
        </is>
      </c>
      <c r="G67" t="inlineStr">
        <is>
          <t>2024-04-05 11:36:00</t>
        </is>
      </c>
      <c r="H67" s="14" t="n">
        <v>4</v>
      </c>
      <c r="I67" s="13" t="n">
        <v>515.52</v>
      </c>
      <c r="J67" s="13" t="n">
        <v>91.78</v>
      </c>
      <c r="K67" s="16" t="n">
        <v>19</v>
      </c>
      <c r="L67" t="inlineStr">
        <is>
          <t>Delivered</t>
        </is>
      </c>
      <c r="M67" t="inlineStr">
        <is>
          <t>PAY03</t>
        </is>
      </c>
      <c r="N67" t="inlineStr">
        <is>
          <t>Morning</t>
        </is>
      </c>
      <c r="O67">
        <f>INDEX(Products_Catalog!$B$2:$B$151, MATCH(C67, Products_Catalog!$A$2:$A$151, 0))</f>
        <v/>
      </c>
      <c r="P67" s="13">
        <f>INDEX(Products_Catalog!$D$2:$D$151, MATCH(C67, Products_Catalog!$A$2:$A$151, 0))</f>
        <v/>
      </c>
      <c r="Q67" s="13">
        <f>I67-J67</f>
        <v/>
      </c>
      <c r="R67" s="15">
        <f>IF(K67&gt;20, "BREACH", "OK")</f>
        <v/>
      </c>
    </row>
    <row r="68">
      <c r="A68" t="inlineStr">
        <is>
          <t>ORD00067</t>
        </is>
      </c>
      <c r="B68" t="inlineStr">
        <is>
          <t>CUST0010</t>
        </is>
      </c>
      <c r="C68" t="inlineStr">
        <is>
          <t>PROD133</t>
        </is>
      </c>
      <c r="D68" t="inlineStr">
        <is>
          <t>STORE045</t>
        </is>
      </c>
      <c r="E68" t="inlineStr">
        <is>
          <t>DP019</t>
        </is>
      </c>
      <c r="F68" t="inlineStr">
        <is>
          <t>2024-12-04 03:14:00</t>
        </is>
      </c>
      <c r="G68" t="inlineStr">
        <is>
          <t>2024-12-04 03:34:00</t>
        </is>
      </c>
      <c r="H68" s="14" t="n">
        <v>7</v>
      </c>
      <c r="I68" s="13" t="n">
        <v>283.26</v>
      </c>
      <c r="J68" s="13" t="n">
        <v>33.09</v>
      </c>
      <c r="K68" s="16" t="n">
        <v>20</v>
      </c>
      <c r="L68" t="inlineStr">
        <is>
          <t>Cancelled</t>
        </is>
      </c>
      <c r="M68" t="inlineStr">
        <is>
          <t>PAY05</t>
        </is>
      </c>
      <c r="N68" t="inlineStr">
        <is>
          <t>Morning</t>
        </is>
      </c>
      <c r="O68">
        <f>INDEX(Products_Catalog!$B$2:$B$151, MATCH(C68, Products_Catalog!$A$2:$A$151, 0))</f>
        <v/>
      </c>
      <c r="P68" s="13">
        <f>INDEX(Products_Catalog!$D$2:$D$151, MATCH(C68, Products_Catalog!$A$2:$A$151, 0))</f>
        <v/>
      </c>
      <c r="Q68" s="13">
        <f>I68-J68</f>
        <v/>
      </c>
      <c r="R68" s="15">
        <f>IF(K68&gt;20, "BREACH", "OK")</f>
        <v/>
      </c>
    </row>
    <row r="69">
      <c r="A69" t="inlineStr">
        <is>
          <t>ORD00068</t>
        </is>
      </c>
      <c r="B69" t="inlineStr">
        <is>
          <t>CUST0046</t>
        </is>
      </c>
      <c r="C69" t="inlineStr">
        <is>
          <t>PROD072</t>
        </is>
      </c>
      <c r="D69" t="inlineStr">
        <is>
          <t>STORE029</t>
        </is>
      </c>
      <c r="E69" t="inlineStr">
        <is>
          <t>DP050</t>
        </is>
      </c>
      <c r="F69" t="inlineStr">
        <is>
          <t>2024-08-17 03:41:00</t>
        </is>
      </c>
      <c r="G69" t="inlineStr">
        <is>
          <t>2024-08-17 04:02:00</t>
        </is>
      </c>
      <c r="H69" s="14" t="n">
        <v>8</v>
      </c>
      <c r="I69" s="13" t="n">
        <v>511.35</v>
      </c>
      <c r="J69" s="13" t="n">
        <v>85.27</v>
      </c>
      <c r="K69" s="16" t="n">
        <v>21</v>
      </c>
      <c r="L69" t="inlineStr">
        <is>
          <t>Pending</t>
        </is>
      </c>
      <c r="M69" t="inlineStr">
        <is>
          <t>PAY04</t>
        </is>
      </c>
      <c r="N69" t="inlineStr">
        <is>
          <t>Morning</t>
        </is>
      </c>
      <c r="O69">
        <f>INDEX(Products_Catalog!$B$2:$B$151, MATCH(C69, Products_Catalog!$A$2:$A$151, 0))</f>
        <v/>
      </c>
      <c r="P69" s="13">
        <f>INDEX(Products_Catalog!$D$2:$D$151, MATCH(C69, Products_Catalog!$A$2:$A$151, 0))</f>
        <v/>
      </c>
      <c r="Q69" s="13">
        <f>I69-J69</f>
        <v/>
      </c>
      <c r="R69" s="15">
        <f>IF(K69&gt;20, "BREACH", "OK")</f>
        <v/>
      </c>
    </row>
    <row r="70">
      <c r="A70" t="inlineStr">
        <is>
          <t>ORD00069</t>
        </is>
      </c>
      <c r="B70" t="inlineStr">
        <is>
          <t>CUST0040</t>
        </is>
      </c>
      <c r="C70" t="inlineStr">
        <is>
          <t>PROD127</t>
        </is>
      </c>
      <c r="D70" t="inlineStr">
        <is>
          <t>STORE004</t>
        </is>
      </c>
      <c r="E70" t="inlineStr">
        <is>
          <t>DP001</t>
        </is>
      </c>
      <c r="F70" t="inlineStr">
        <is>
          <t>2024-11-23 09:48:00</t>
        </is>
      </c>
      <c r="G70" t="inlineStr">
        <is>
          <t>2024-11-23 10:10:00</t>
        </is>
      </c>
      <c r="H70" s="14" t="n">
        <v>3</v>
      </c>
      <c r="I70" s="13" t="n">
        <v>205.23</v>
      </c>
      <c r="J70" s="13" t="n">
        <v>44.24</v>
      </c>
      <c r="K70" s="16" t="n">
        <v>22</v>
      </c>
      <c r="L70" t="inlineStr">
        <is>
          <t>Cancelled</t>
        </is>
      </c>
      <c r="M70" t="inlineStr">
        <is>
          <t>PAY05</t>
        </is>
      </c>
      <c r="N70" t="inlineStr">
        <is>
          <t>Morning</t>
        </is>
      </c>
      <c r="O70">
        <f>INDEX(Products_Catalog!$B$2:$B$151, MATCH(C70, Products_Catalog!$A$2:$A$151, 0))</f>
        <v/>
      </c>
      <c r="P70" s="13">
        <f>INDEX(Products_Catalog!$D$2:$D$151, MATCH(C70, Products_Catalog!$A$2:$A$151, 0))</f>
        <v/>
      </c>
      <c r="Q70" s="13">
        <f>I70-J70</f>
        <v/>
      </c>
      <c r="R70" s="15">
        <f>IF(K70&gt;20, "BREACH", "OK")</f>
        <v/>
      </c>
    </row>
    <row r="71">
      <c r="A71" t="inlineStr">
        <is>
          <t>ORD00070</t>
        </is>
      </c>
      <c r="B71" t="inlineStr">
        <is>
          <t>CUST0041</t>
        </is>
      </c>
      <c r="C71" t="inlineStr">
        <is>
          <t>PROD122</t>
        </is>
      </c>
      <c r="D71" t="inlineStr">
        <is>
          <t>STORE009</t>
        </is>
      </c>
      <c r="E71" t="inlineStr">
        <is>
          <t>DP004</t>
        </is>
      </c>
      <c r="F71" t="inlineStr">
        <is>
          <t>2024-07-22 02:28:00</t>
        </is>
      </c>
      <c r="G71" t="inlineStr">
        <is>
          <t>2024-07-22 02:51:00</t>
        </is>
      </c>
      <c r="H71" s="14" t="n">
        <v>7</v>
      </c>
      <c r="I71" s="13" t="n">
        <v>860.26</v>
      </c>
      <c r="J71" s="13" t="n">
        <v>76.19</v>
      </c>
      <c r="K71" s="16" t="n">
        <v>23</v>
      </c>
      <c r="L71" t="inlineStr">
        <is>
          <t>Pending</t>
        </is>
      </c>
      <c r="M71" t="inlineStr">
        <is>
          <t>PAY04</t>
        </is>
      </c>
      <c r="N71" t="inlineStr">
        <is>
          <t>Morning</t>
        </is>
      </c>
      <c r="O71">
        <f>INDEX(Products_Catalog!$B$2:$B$151, MATCH(C71, Products_Catalog!$A$2:$A$151, 0))</f>
        <v/>
      </c>
      <c r="P71" s="13">
        <f>INDEX(Products_Catalog!$D$2:$D$151, MATCH(C71, Products_Catalog!$A$2:$A$151, 0))</f>
        <v/>
      </c>
      <c r="Q71" s="13">
        <f>I71-J71</f>
        <v/>
      </c>
      <c r="R71" s="15">
        <f>IF(K71&gt;20, "BREACH", "OK")</f>
        <v/>
      </c>
    </row>
    <row r="72">
      <c r="A72" t="inlineStr">
        <is>
          <t>ORD00071</t>
        </is>
      </c>
      <c r="B72" t="inlineStr">
        <is>
          <t>CUST0046</t>
        </is>
      </c>
      <c r="C72" t="inlineStr">
        <is>
          <t>PROD028</t>
        </is>
      </c>
      <c r="D72" t="inlineStr">
        <is>
          <t>STORE014</t>
        </is>
      </c>
      <c r="E72" t="inlineStr">
        <is>
          <t>DP034</t>
        </is>
      </c>
      <c r="F72" t="inlineStr">
        <is>
          <t>2024-11-01 09:39:00</t>
        </is>
      </c>
      <c r="G72" t="inlineStr">
        <is>
          <t>2024-11-01 10:03:00</t>
        </is>
      </c>
      <c r="H72" s="14" t="n">
        <v>4</v>
      </c>
      <c r="I72" s="13" t="n">
        <v>236.94</v>
      </c>
      <c r="J72" s="13" t="n">
        <v>92.72</v>
      </c>
      <c r="K72" s="16" t="n">
        <v>24</v>
      </c>
      <c r="L72" t="inlineStr">
        <is>
          <t>Pending</t>
        </is>
      </c>
      <c r="M72" t="inlineStr">
        <is>
          <t>PAY01</t>
        </is>
      </c>
      <c r="N72" t="inlineStr">
        <is>
          <t>Morning</t>
        </is>
      </c>
      <c r="O72">
        <f>INDEX(Products_Catalog!$B$2:$B$151, MATCH(C72, Products_Catalog!$A$2:$A$151, 0))</f>
        <v/>
      </c>
      <c r="P72" s="13">
        <f>INDEX(Products_Catalog!$D$2:$D$151, MATCH(C72, Products_Catalog!$A$2:$A$151, 0))</f>
        <v/>
      </c>
      <c r="Q72" s="13">
        <f>I72-J72</f>
        <v/>
      </c>
      <c r="R72" s="15">
        <f>IF(K72&gt;20, "BREACH", "OK")</f>
        <v/>
      </c>
    </row>
    <row r="73">
      <c r="A73" t="inlineStr">
        <is>
          <t>ORD00072</t>
        </is>
      </c>
      <c r="B73" t="inlineStr">
        <is>
          <t>CUST0004</t>
        </is>
      </c>
      <c r="C73" t="inlineStr">
        <is>
          <t>PROD019</t>
        </is>
      </c>
      <c r="D73" t="inlineStr">
        <is>
          <t>STORE010</t>
        </is>
      </c>
      <c r="E73" t="inlineStr">
        <is>
          <t>DP015</t>
        </is>
      </c>
      <c r="F73" t="inlineStr">
        <is>
          <t>2024-10-22 01:49:00</t>
        </is>
      </c>
      <c r="G73" t="inlineStr">
        <is>
          <t>2024-10-22 02:14:00</t>
        </is>
      </c>
      <c r="H73" s="14" t="n">
        <v>10</v>
      </c>
      <c r="I73" s="13" t="n">
        <v>796.05</v>
      </c>
      <c r="J73" s="13" t="n">
        <v>55.67</v>
      </c>
      <c r="K73" s="16" t="n">
        <v>25</v>
      </c>
      <c r="L73" t="inlineStr">
        <is>
          <t>Cancelled</t>
        </is>
      </c>
      <c r="M73" t="inlineStr">
        <is>
          <t>PAY03</t>
        </is>
      </c>
      <c r="N73" t="inlineStr">
        <is>
          <t>Morning</t>
        </is>
      </c>
      <c r="O73">
        <f>INDEX(Products_Catalog!$B$2:$B$151, MATCH(C73, Products_Catalog!$A$2:$A$151, 0))</f>
        <v/>
      </c>
      <c r="P73" s="13">
        <f>INDEX(Products_Catalog!$D$2:$D$151, MATCH(C73, Products_Catalog!$A$2:$A$151, 0))</f>
        <v/>
      </c>
      <c r="Q73" s="13">
        <f>I73-J73</f>
        <v/>
      </c>
      <c r="R73" s="15">
        <f>IF(K73&gt;20, "BREACH", "OK")</f>
        <v/>
      </c>
    </row>
    <row r="74">
      <c r="A74" t="inlineStr">
        <is>
          <t>ORD00073</t>
        </is>
      </c>
      <c r="B74" t="inlineStr">
        <is>
          <t>CUST0045</t>
        </is>
      </c>
      <c r="C74" t="inlineStr">
        <is>
          <t>PROD020</t>
        </is>
      </c>
      <c r="D74" t="inlineStr">
        <is>
          <t>STORE005</t>
        </is>
      </c>
      <c r="E74" t="inlineStr">
        <is>
          <t>DP017</t>
        </is>
      </c>
      <c r="F74" t="inlineStr">
        <is>
          <t>2024-06-26 00:05:00</t>
        </is>
      </c>
      <c r="G74" t="inlineStr">
        <is>
          <t>2024-06-26 00:31:00</t>
        </is>
      </c>
      <c r="H74" s="14" t="n">
        <v>2</v>
      </c>
      <c r="I74" s="13" t="n">
        <v>356.23</v>
      </c>
      <c r="J74" s="13" t="n">
        <v>53.74</v>
      </c>
      <c r="K74" s="16" t="n">
        <v>26</v>
      </c>
      <c r="L74" t="inlineStr">
        <is>
          <t>Shipped</t>
        </is>
      </c>
      <c r="M74" t="inlineStr">
        <is>
          <t>PAY04</t>
        </is>
      </c>
      <c r="N74" t="inlineStr">
        <is>
          <t>Morning</t>
        </is>
      </c>
      <c r="O74">
        <f>INDEX(Products_Catalog!$B$2:$B$151, MATCH(C74, Products_Catalog!$A$2:$A$151, 0))</f>
        <v/>
      </c>
      <c r="P74" s="13">
        <f>INDEX(Products_Catalog!$D$2:$D$151, MATCH(C74, Products_Catalog!$A$2:$A$151, 0))</f>
        <v/>
      </c>
      <c r="Q74" s="13">
        <f>I74-J74</f>
        <v/>
      </c>
      <c r="R74" s="15">
        <f>IF(K74&gt;20, "BREACH", "OK")</f>
        <v/>
      </c>
    </row>
    <row r="75">
      <c r="A75" t="inlineStr">
        <is>
          <t>ORD00074</t>
        </is>
      </c>
      <c r="B75" t="inlineStr">
        <is>
          <t>CUST0009</t>
        </is>
      </c>
      <c r="C75" t="inlineStr">
        <is>
          <t>PROD114</t>
        </is>
      </c>
      <c r="D75" t="inlineStr">
        <is>
          <t>STORE038</t>
        </is>
      </c>
      <c r="E75" t="inlineStr">
        <is>
          <t>DP050</t>
        </is>
      </c>
      <c r="F75" t="inlineStr">
        <is>
          <t>2024-06-24 08:35:00</t>
        </is>
      </c>
      <c r="G75" t="inlineStr">
        <is>
          <t>2024-06-24 09:02:00</t>
        </is>
      </c>
      <c r="H75" s="14" t="n">
        <v>10</v>
      </c>
      <c r="I75" s="13" t="n">
        <v>933.0599999999999</v>
      </c>
      <c r="J75" s="13" t="n">
        <v>79.37</v>
      </c>
      <c r="K75" s="16" t="n">
        <v>27</v>
      </c>
      <c r="L75" t="inlineStr">
        <is>
          <t>Pending</t>
        </is>
      </c>
      <c r="M75" t="inlineStr">
        <is>
          <t>PAY05</t>
        </is>
      </c>
      <c r="N75" t="inlineStr">
        <is>
          <t>Morning</t>
        </is>
      </c>
      <c r="O75">
        <f>INDEX(Products_Catalog!$B$2:$B$151, MATCH(C75, Products_Catalog!$A$2:$A$151, 0))</f>
        <v/>
      </c>
      <c r="P75" s="13">
        <f>INDEX(Products_Catalog!$D$2:$D$151, MATCH(C75, Products_Catalog!$A$2:$A$151, 0))</f>
        <v/>
      </c>
      <c r="Q75" s="13">
        <f>I75-J75</f>
        <v/>
      </c>
      <c r="R75" s="15">
        <f>IF(K75&gt;20, "BREACH", "OK")</f>
        <v/>
      </c>
    </row>
    <row r="76">
      <c r="A76" t="inlineStr">
        <is>
          <t>ORD00075</t>
        </is>
      </c>
      <c r="B76" t="inlineStr">
        <is>
          <t>CUST0024</t>
        </is>
      </c>
      <c r="C76" t="inlineStr">
        <is>
          <t>PROD013</t>
        </is>
      </c>
      <c r="D76" t="inlineStr">
        <is>
          <t>STORE040</t>
        </is>
      </c>
      <c r="E76" t="inlineStr">
        <is>
          <t>DP046</t>
        </is>
      </c>
      <c r="F76" t="inlineStr">
        <is>
          <t>2024-09-22 03:16:00</t>
        </is>
      </c>
      <c r="G76" t="inlineStr">
        <is>
          <t>2024-09-22 03:44:00</t>
        </is>
      </c>
      <c r="H76" s="14" t="n">
        <v>2</v>
      </c>
      <c r="I76" s="13" t="n">
        <v>472.03</v>
      </c>
      <c r="J76" s="13" t="n">
        <v>30.68</v>
      </c>
      <c r="K76" s="16" t="n">
        <v>28</v>
      </c>
      <c r="L76" t="inlineStr">
        <is>
          <t>Cancelled</t>
        </is>
      </c>
      <c r="M76" t="inlineStr">
        <is>
          <t>PAY02</t>
        </is>
      </c>
      <c r="N76" t="inlineStr">
        <is>
          <t>Morning</t>
        </is>
      </c>
      <c r="O76">
        <f>INDEX(Products_Catalog!$B$2:$B$151, MATCH(C76, Products_Catalog!$A$2:$A$151, 0))</f>
        <v/>
      </c>
      <c r="P76" s="13">
        <f>INDEX(Products_Catalog!$D$2:$D$151, MATCH(C76, Products_Catalog!$A$2:$A$151, 0))</f>
        <v/>
      </c>
      <c r="Q76" s="13">
        <f>I76-J76</f>
        <v/>
      </c>
      <c r="R76" s="15">
        <f>IF(K76&gt;20, "BREACH", "OK")</f>
        <v/>
      </c>
    </row>
    <row r="77">
      <c r="A77" t="inlineStr">
        <is>
          <t>ORD00076</t>
        </is>
      </c>
      <c r="B77" t="inlineStr">
        <is>
          <t>CUST0020</t>
        </is>
      </c>
      <c r="C77" t="inlineStr">
        <is>
          <t>PROD058</t>
        </is>
      </c>
      <c r="D77" t="inlineStr">
        <is>
          <t>STORE023</t>
        </is>
      </c>
      <c r="E77" t="inlineStr">
        <is>
          <t>DP011</t>
        </is>
      </c>
      <c r="F77" t="inlineStr">
        <is>
          <t>2024-05-26 07:27:00</t>
        </is>
      </c>
      <c r="G77" t="inlineStr">
        <is>
          <t>2024-05-26 07:56:00</t>
        </is>
      </c>
      <c r="H77" s="14" t="n">
        <v>2</v>
      </c>
      <c r="I77" s="13" t="n">
        <v>952.03</v>
      </c>
      <c r="J77" s="13" t="n">
        <v>70.73</v>
      </c>
      <c r="K77" s="16" t="n">
        <v>29</v>
      </c>
      <c r="L77" t="inlineStr">
        <is>
          <t>Pending</t>
        </is>
      </c>
      <c r="M77" t="inlineStr">
        <is>
          <t>PAY03</t>
        </is>
      </c>
      <c r="N77" t="inlineStr">
        <is>
          <t>Morning</t>
        </is>
      </c>
      <c r="O77">
        <f>INDEX(Products_Catalog!$B$2:$B$151, MATCH(C77, Products_Catalog!$A$2:$A$151, 0))</f>
        <v/>
      </c>
      <c r="P77" s="13">
        <f>INDEX(Products_Catalog!$D$2:$D$151, MATCH(C77, Products_Catalog!$A$2:$A$151, 0))</f>
        <v/>
      </c>
      <c r="Q77" s="13">
        <f>I77-J77</f>
        <v/>
      </c>
      <c r="R77" s="15">
        <f>IF(K77&gt;20, "BREACH", "OK")</f>
        <v/>
      </c>
    </row>
    <row r="78">
      <c r="A78" t="inlineStr">
        <is>
          <t>ORD00077</t>
        </is>
      </c>
      <c r="B78" t="inlineStr">
        <is>
          <t>CUST0028</t>
        </is>
      </c>
      <c r="C78" t="inlineStr">
        <is>
          <t>PROD029</t>
        </is>
      </c>
      <c r="D78" t="inlineStr">
        <is>
          <t>STORE006</t>
        </is>
      </c>
      <c r="E78" t="inlineStr">
        <is>
          <t>DP033</t>
        </is>
      </c>
      <c r="F78" t="inlineStr">
        <is>
          <t>2024-05-23 01:18:00</t>
        </is>
      </c>
      <c r="G78" t="inlineStr">
        <is>
          <t>2024-05-23 01:48:00</t>
        </is>
      </c>
      <c r="H78" s="14" t="n">
        <v>4</v>
      </c>
      <c r="I78" s="13" t="n">
        <v>265.65</v>
      </c>
      <c r="J78" s="13" t="n">
        <v>6.49</v>
      </c>
      <c r="K78" s="16" t="n">
        <v>30</v>
      </c>
      <c r="L78" t="inlineStr">
        <is>
          <t>Shipped</t>
        </is>
      </c>
      <c r="M78" t="inlineStr">
        <is>
          <t>PAY01</t>
        </is>
      </c>
      <c r="N78" t="inlineStr">
        <is>
          <t>Morning</t>
        </is>
      </c>
      <c r="O78">
        <f>INDEX(Products_Catalog!$B$2:$B$151, MATCH(C78, Products_Catalog!$A$2:$A$151, 0))</f>
        <v/>
      </c>
      <c r="P78" s="13">
        <f>INDEX(Products_Catalog!$D$2:$D$151, MATCH(C78, Products_Catalog!$A$2:$A$151, 0))</f>
        <v/>
      </c>
      <c r="Q78" s="13">
        <f>I78-J78</f>
        <v/>
      </c>
      <c r="R78" s="15">
        <f>IF(K78&gt;20, "BREACH", "OK")</f>
        <v/>
      </c>
    </row>
    <row r="79">
      <c r="A79" t="inlineStr">
        <is>
          <t>ORD00078</t>
        </is>
      </c>
      <c r="B79" t="inlineStr">
        <is>
          <t>CUST0011</t>
        </is>
      </c>
      <c r="C79" t="inlineStr">
        <is>
          <t>PROD007</t>
        </is>
      </c>
      <c r="D79" t="inlineStr">
        <is>
          <t>STORE006</t>
        </is>
      </c>
      <c r="E79" t="inlineStr">
        <is>
          <t>DP049</t>
        </is>
      </c>
      <c r="F79" t="inlineStr">
        <is>
          <t>2024-12-17 06:02:00</t>
        </is>
      </c>
      <c r="G79" t="inlineStr">
        <is>
          <t>2024-12-17 06:12:00</t>
        </is>
      </c>
      <c r="H79" s="14" t="n">
        <v>1</v>
      </c>
      <c r="I79" s="13" t="n">
        <v>144.26</v>
      </c>
      <c r="J79" s="13" t="n">
        <v>76.27</v>
      </c>
      <c r="K79" s="16" t="n">
        <v>10</v>
      </c>
      <c r="L79" t="inlineStr">
        <is>
          <t>Shipped</t>
        </is>
      </c>
      <c r="M79" t="inlineStr">
        <is>
          <t>PAY02</t>
        </is>
      </c>
      <c r="N79" t="inlineStr">
        <is>
          <t>Morning</t>
        </is>
      </c>
      <c r="O79">
        <f>INDEX(Products_Catalog!$B$2:$B$151, MATCH(C79, Products_Catalog!$A$2:$A$151, 0))</f>
        <v/>
      </c>
      <c r="P79" s="13">
        <f>INDEX(Products_Catalog!$D$2:$D$151, MATCH(C79, Products_Catalog!$A$2:$A$151, 0))</f>
        <v/>
      </c>
      <c r="Q79" s="13">
        <f>I79-J79</f>
        <v/>
      </c>
      <c r="R79" s="15">
        <f>IF(K79&gt;20, "BREACH", "OK")</f>
        <v/>
      </c>
    </row>
    <row r="80">
      <c r="A80" t="inlineStr">
        <is>
          <t>ORD00079</t>
        </is>
      </c>
      <c r="B80" t="inlineStr">
        <is>
          <t>CUST0011</t>
        </is>
      </c>
      <c r="C80" t="inlineStr">
        <is>
          <t>PROD143</t>
        </is>
      </c>
      <c r="D80" t="inlineStr">
        <is>
          <t>STORE022</t>
        </is>
      </c>
      <c r="E80" t="inlineStr">
        <is>
          <t>DP033</t>
        </is>
      </c>
      <c r="F80" t="inlineStr">
        <is>
          <t>2024-05-30 02:42:00</t>
        </is>
      </c>
      <c r="G80" t="inlineStr">
        <is>
          <t>2024-05-30 02:53:00</t>
        </is>
      </c>
      <c r="H80" s="14" t="n">
        <v>6</v>
      </c>
      <c r="I80" s="13" t="n">
        <v>975.98</v>
      </c>
      <c r="J80" s="13" t="n">
        <v>99.72</v>
      </c>
      <c r="K80" s="16" t="n">
        <v>11</v>
      </c>
      <c r="L80" t="inlineStr">
        <is>
          <t>Cancelled</t>
        </is>
      </c>
      <c r="M80" t="inlineStr">
        <is>
          <t>PAY02</t>
        </is>
      </c>
      <c r="N80" t="inlineStr">
        <is>
          <t>Morning</t>
        </is>
      </c>
      <c r="O80">
        <f>INDEX(Products_Catalog!$B$2:$B$151, MATCH(C80, Products_Catalog!$A$2:$A$151, 0))</f>
        <v/>
      </c>
      <c r="P80" s="13">
        <f>INDEX(Products_Catalog!$D$2:$D$151, MATCH(C80, Products_Catalog!$A$2:$A$151, 0))</f>
        <v/>
      </c>
      <c r="Q80" s="13">
        <f>I80-J80</f>
        <v/>
      </c>
      <c r="R80" s="15">
        <f>IF(K80&gt;20, "BREACH", "OK")</f>
        <v/>
      </c>
    </row>
    <row r="81">
      <c r="A81" t="inlineStr">
        <is>
          <t>ORD00080</t>
        </is>
      </c>
      <c r="B81" t="inlineStr">
        <is>
          <t>CUST0036</t>
        </is>
      </c>
      <c r="C81" t="inlineStr">
        <is>
          <t>PROD069</t>
        </is>
      </c>
      <c r="D81" t="inlineStr">
        <is>
          <t>STORE014</t>
        </is>
      </c>
      <c r="E81" t="inlineStr">
        <is>
          <t>DP039</t>
        </is>
      </c>
      <c r="F81" t="inlineStr">
        <is>
          <t>2024-04-21 11:48:00</t>
        </is>
      </c>
      <c r="G81" t="inlineStr">
        <is>
          <t>2024-04-21 12:00:00</t>
        </is>
      </c>
      <c r="H81" s="14" t="n">
        <v>1</v>
      </c>
      <c r="I81" s="13" t="n">
        <v>527.11</v>
      </c>
      <c r="J81" s="13" t="n">
        <v>69.81</v>
      </c>
      <c r="K81" s="16" t="n">
        <v>12</v>
      </c>
      <c r="L81" t="inlineStr">
        <is>
          <t>Cancelled</t>
        </is>
      </c>
      <c r="M81" t="inlineStr">
        <is>
          <t>PAY02</t>
        </is>
      </c>
      <c r="N81" t="inlineStr">
        <is>
          <t>Morning</t>
        </is>
      </c>
      <c r="O81">
        <f>INDEX(Products_Catalog!$B$2:$B$151, MATCH(C81, Products_Catalog!$A$2:$A$151, 0))</f>
        <v/>
      </c>
      <c r="P81" s="13">
        <f>INDEX(Products_Catalog!$D$2:$D$151, MATCH(C81, Products_Catalog!$A$2:$A$151, 0))</f>
        <v/>
      </c>
      <c r="Q81" s="13">
        <f>I81-J81</f>
        <v/>
      </c>
      <c r="R81" s="15">
        <f>IF(K81&gt;20, "BREACH", "OK")</f>
        <v/>
      </c>
    </row>
    <row r="82">
      <c r="A82" t="inlineStr">
        <is>
          <t>ORD00081</t>
        </is>
      </c>
      <c r="B82" t="inlineStr">
        <is>
          <t>CUST0009</t>
        </is>
      </c>
      <c r="C82" t="inlineStr">
        <is>
          <t>PROD088</t>
        </is>
      </c>
      <c r="D82" t="inlineStr">
        <is>
          <t>STORE015</t>
        </is>
      </c>
      <c r="E82" t="inlineStr">
        <is>
          <t>DP019</t>
        </is>
      </c>
      <c r="F82" t="inlineStr">
        <is>
          <t>2024-12-24 05:38:00</t>
        </is>
      </c>
      <c r="G82" t="inlineStr">
        <is>
          <t>2024-12-24 05:51:00</t>
        </is>
      </c>
      <c r="H82" s="14" t="n">
        <v>10</v>
      </c>
      <c r="I82" s="13" t="n">
        <v>475.95</v>
      </c>
      <c r="J82" s="13" t="n">
        <v>52.15</v>
      </c>
      <c r="K82" s="16" t="n">
        <v>13</v>
      </c>
      <c r="L82" t="inlineStr">
        <is>
          <t>Cancelled</t>
        </is>
      </c>
      <c r="M82" t="inlineStr">
        <is>
          <t>PAY05</t>
        </is>
      </c>
      <c r="N82" t="inlineStr">
        <is>
          <t>Morning</t>
        </is>
      </c>
      <c r="O82">
        <f>INDEX(Products_Catalog!$B$2:$B$151, MATCH(C82, Products_Catalog!$A$2:$A$151, 0))</f>
        <v/>
      </c>
      <c r="P82" s="13">
        <f>INDEX(Products_Catalog!$D$2:$D$151, MATCH(C82, Products_Catalog!$A$2:$A$151, 0))</f>
        <v/>
      </c>
      <c r="Q82" s="13">
        <f>I82-J82</f>
        <v/>
      </c>
      <c r="R82" s="15">
        <f>IF(K82&gt;20, "BREACH", "OK")</f>
        <v/>
      </c>
    </row>
    <row r="83">
      <c r="A83" t="inlineStr">
        <is>
          <t>ORD00082</t>
        </is>
      </c>
      <c r="B83" t="inlineStr">
        <is>
          <t>CUST0042</t>
        </is>
      </c>
      <c r="C83" t="inlineStr">
        <is>
          <t>PROD119</t>
        </is>
      </c>
      <c r="D83" t="inlineStr">
        <is>
          <t>STORE033</t>
        </is>
      </c>
      <c r="E83" t="inlineStr">
        <is>
          <t>DP031</t>
        </is>
      </c>
      <c r="F83" t="inlineStr">
        <is>
          <t>2024-07-10 01:58:00</t>
        </is>
      </c>
      <c r="G83" t="inlineStr">
        <is>
          <t>2024-07-10 02:12:00</t>
        </is>
      </c>
      <c r="H83" s="14" t="n">
        <v>7</v>
      </c>
      <c r="I83" s="13" t="n">
        <v>746.37</v>
      </c>
      <c r="J83" s="13" t="n">
        <v>57.42</v>
      </c>
      <c r="K83" s="16" t="n">
        <v>14</v>
      </c>
      <c r="L83" t="inlineStr">
        <is>
          <t>Cancelled</t>
        </is>
      </c>
      <c r="M83" t="inlineStr">
        <is>
          <t>PAY01</t>
        </is>
      </c>
      <c r="N83" t="inlineStr">
        <is>
          <t>Morning</t>
        </is>
      </c>
      <c r="O83">
        <f>INDEX(Products_Catalog!$B$2:$B$151, MATCH(C83, Products_Catalog!$A$2:$A$151, 0))</f>
        <v/>
      </c>
      <c r="P83" s="13">
        <f>INDEX(Products_Catalog!$D$2:$D$151, MATCH(C83, Products_Catalog!$A$2:$A$151, 0))</f>
        <v/>
      </c>
      <c r="Q83" s="13">
        <f>I83-J83</f>
        <v/>
      </c>
      <c r="R83" s="15">
        <f>IF(K83&gt;20, "BREACH", "OK")</f>
        <v/>
      </c>
    </row>
    <row r="84">
      <c r="A84" t="inlineStr">
        <is>
          <t>ORD00083</t>
        </is>
      </c>
      <c r="B84" t="inlineStr">
        <is>
          <t>CUST0021</t>
        </is>
      </c>
      <c r="C84" t="inlineStr">
        <is>
          <t>PROD011</t>
        </is>
      </c>
      <c r="D84" t="inlineStr">
        <is>
          <t>STORE050</t>
        </is>
      </c>
      <c r="E84" t="inlineStr">
        <is>
          <t>DP022</t>
        </is>
      </c>
      <c r="F84" t="inlineStr">
        <is>
          <t>2024-09-06 11:39:00</t>
        </is>
      </c>
      <c r="G84" t="inlineStr">
        <is>
          <t>2024-09-06 11:54:00</t>
        </is>
      </c>
      <c r="H84" s="14" t="n">
        <v>6</v>
      </c>
      <c r="I84" s="13" t="n">
        <v>584.62</v>
      </c>
      <c r="J84" s="13" t="n">
        <v>5.78</v>
      </c>
      <c r="K84" s="16" t="n">
        <v>15</v>
      </c>
      <c r="L84" t="inlineStr">
        <is>
          <t>Shipped</t>
        </is>
      </c>
      <c r="M84" t="inlineStr">
        <is>
          <t>PAY02</t>
        </is>
      </c>
      <c r="N84" t="inlineStr">
        <is>
          <t>Morning</t>
        </is>
      </c>
      <c r="O84">
        <f>INDEX(Products_Catalog!$B$2:$B$151, MATCH(C84, Products_Catalog!$A$2:$A$151, 0))</f>
        <v/>
      </c>
      <c r="P84" s="13">
        <f>INDEX(Products_Catalog!$D$2:$D$151, MATCH(C84, Products_Catalog!$A$2:$A$151, 0))</f>
        <v/>
      </c>
      <c r="Q84" s="13">
        <f>I84-J84</f>
        <v/>
      </c>
      <c r="R84" s="15">
        <f>IF(K84&gt;20, "BREACH", "OK")</f>
        <v/>
      </c>
    </row>
    <row r="85">
      <c r="A85" t="inlineStr">
        <is>
          <t>ORD00084</t>
        </is>
      </c>
      <c r="B85" t="inlineStr">
        <is>
          <t>CUST0019</t>
        </is>
      </c>
      <c r="C85" t="inlineStr">
        <is>
          <t>PROD045</t>
        </is>
      </c>
      <c r="D85" t="inlineStr">
        <is>
          <t>STORE004</t>
        </is>
      </c>
      <c r="E85" t="inlineStr">
        <is>
          <t>DP022</t>
        </is>
      </c>
      <c r="F85" t="inlineStr">
        <is>
          <t>2024-11-08 08:05:00</t>
        </is>
      </c>
      <c r="G85" t="inlineStr">
        <is>
          <t>2024-11-08 08:21:00</t>
        </is>
      </c>
      <c r="H85" s="14" t="n">
        <v>4</v>
      </c>
      <c r="I85" s="13" t="n">
        <v>561</v>
      </c>
      <c r="J85" s="13" t="n">
        <v>10.41</v>
      </c>
      <c r="K85" s="16" t="n">
        <v>16</v>
      </c>
      <c r="L85" t="inlineStr">
        <is>
          <t>Pending</t>
        </is>
      </c>
      <c r="M85" t="inlineStr">
        <is>
          <t>PAY05</t>
        </is>
      </c>
      <c r="N85" t="inlineStr">
        <is>
          <t>Morning</t>
        </is>
      </c>
      <c r="O85">
        <f>INDEX(Products_Catalog!$B$2:$B$151, MATCH(C85, Products_Catalog!$A$2:$A$151, 0))</f>
        <v/>
      </c>
      <c r="P85" s="13">
        <f>INDEX(Products_Catalog!$D$2:$D$151, MATCH(C85, Products_Catalog!$A$2:$A$151, 0))</f>
        <v/>
      </c>
      <c r="Q85" s="13">
        <f>I85-J85</f>
        <v/>
      </c>
      <c r="R85" s="15">
        <f>IF(K85&gt;20, "BREACH", "OK")</f>
        <v/>
      </c>
    </row>
    <row r="86">
      <c r="A86" t="inlineStr">
        <is>
          <t>ORD00085</t>
        </is>
      </c>
      <c r="B86" t="inlineStr">
        <is>
          <t>CUST0017</t>
        </is>
      </c>
      <c r="C86" t="inlineStr">
        <is>
          <t>PROD118</t>
        </is>
      </c>
      <c r="D86" t="inlineStr">
        <is>
          <t>STORE018</t>
        </is>
      </c>
      <c r="E86" t="inlineStr">
        <is>
          <t>DP044</t>
        </is>
      </c>
      <c r="F86" t="inlineStr">
        <is>
          <t>2024-11-28 04:00:00</t>
        </is>
      </c>
      <c r="G86" t="inlineStr">
        <is>
          <t>2024-11-28 04:17:00</t>
        </is>
      </c>
      <c r="H86" s="14" t="n">
        <v>9</v>
      </c>
      <c r="I86" s="13" t="n">
        <v>755.4299999999999</v>
      </c>
      <c r="J86" s="13" t="n">
        <v>66.59999999999999</v>
      </c>
      <c r="K86" s="16" t="n">
        <v>17</v>
      </c>
      <c r="L86" t="inlineStr">
        <is>
          <t>Delivered</t>
        </is>
      </c>
      <c r="M86" t="inlineStr">
        <is>
          <t>PAY04</t>
        </is>
      </c>
      <c r="N86" t="inlineStr">
        <is>
          <t>Morning</t>
        </is>
      </c>
      <c r="O86">
        <f>INDEX(Products_Catalog!$B$2:$B$151, MATCH(C86, Products_Catalog!$A$2:$A$151, 0))</f>
        <v/>
      </c>
      <c r="P86" s="13">
        <f>INDEX(Products_Catalog!$D$2:$D$151, MATCH(C86, Products_Catalog!$A$2:$A$151, 0))</f>
        <v/>
      </c>
      <c r="Q86" s="13">
        <f>I86-J86</f>
        <v/>
      </c>
      <c r="R86" s="15">
        <f>IF(K86&gt;20, "BREACH", "OK")</f>
        <v/>
      </c>
    </row>
    <row r="87">
      <c r="A87" t="inlineStr">
        <is>
          <t>ORD00086</t>
        </is>
      </c>
      <c r="B87" t="inlineStr">
        <is>
          <t>CUST0035</t>
        </is>
      </c>
      <c r="C87" t="inlineStr">
        <is>
          <t>PROD035</t>
        </is>
      </c>
      <c r="D87" t="inlineStr">
        <is>
          <t>STORE017</t>
        </is>
      </c>
      <c r="E87" t="inlineStr">
        <is>
          <t>DP037</t>
        </is>
      </c>
      <c r="F87" t="inlineStr">
        <is>
          <t>2024-03-13 11:36:00</t>
        </is>
      </c>
      <c r="G87" t="inlineStr">
        <is>
          <t>2024-03-13 11:54:00</t>
        </is>
      </c>
      <c r="H87" s="14" t="n">
        <v>1</v>
      </c>
      <c r="I87" s="13" t="n">
        <v>558.17</v>
      </c>
      <c r="J87" s="13" t="n">
        <v>18.01</v>
      </c>
      <c r="K87" s="16" t="n">
        <v>18</v>
      </c>
      <c r="L87" t="inlineStr">
        <is>
          <t>Pending</t>
        </is>
      </c>
      <c r="M87" t="inlineStr">
        <is>
          <t>PAY05</t>
        </is>
      </c>
      <c r="N87" t="inlineStr">
        <is>
          <t>Morning</t>
        </is>
      </c>
      <c r="O87">
        <f>INDEX(Products_Catalog!$B$2:$B$151, MATCH(C87, Products_Catalog!$A$2:$A$151, 0))</f>
        <v/>
      </c>
      <c r="P87" s="13">
        <f>INDEX(Products_Catalog!$D$2:$D$151, MATCH(C87, Products_Catalog!$A$2:$A$151, 0))</f>
        <v/>
      </c>
      <c r="Q87" s="13">
        <f>I87-J87</f>
        <v/>
      </c>
      <c r="R87" s="15">
        <f>IF(K87&gt;20, "BREACH", "OK")</f>
        <v/>
      </c>
    </row>
    <row r="88">
      <c r="A88" t="inlineStr">
        <is>
          <t>ORD00087</t>
        </is>
      </c>
      <c r="B88" t="inlineStr">
        <is>
          <t>CUST0039</t>
        </is>
      </c>
      <c r="C88" t="inlineStr">
        <is>
          <t>PROD102</t>
        </is>
      </c>
      <c r="D88" t="inlineStr">
        <is>
          <t>STORE039</t>
        </is>
      </c>
      <c r="E88" t="inlineStr">
        <is>
          <t>DP015</t>
        </is>
      </c>
      <c r="F88" t="inlineStr">
        <is>
          <t>2024-06-15 08:01:00</t>
        </is>
      </c>
      <c r="G88" t="inlineStr">
        <is>
          <t>2024-06-15 08:20:00</t>
        </is>
      </c>
      <c r="H88" s="14" t="n">
        <v>3</v>
      </c>
      <c r="I88" s="13" t="n">
        <v>856.79</v>
      </c>
      <c r="J88" s="13" t="n">
        <v>74.19</v>
      </c>
      <c r="K88" s="16" t="n">
        <v>19</v>
      </c>
      <c r="L88" t="inlineStr">
        <is>
          <t>Pending</t>
        </is>
      </c>
      <c r="M88" t="inlineStr">
        <is>
          <t>PAY01</t>
        </is>
      </c>
      <c r="N88" t="inlineStr">
        <is>
          <t>Morning</t>
        </is>
      </c>
      <c r="O88">
        <f>INDEX(Products_Catalog!$B$2:$B$151, MATCH(C88, Products_Catalog!$A$2:$A$151, 0))</f>
        <v/>
      </c>
      <c r="P88" s="13">
        <f>INDEX(Products_Catalog!$D$2:$D$151, MATCH(C88, Products_Catalog!$A$2:$A$151, 0))</f>
        <v/>
      </c>
      <c r="Q88" s="13">
        <f>I88-J88</f>
        <v/>
      </c>
      <c r="R88" s="15">
        <f>IF(K88&gt;20, "BREACH", "OK")</f>
        <v/>
      </c>
    </row>
    <row r="89">
      <c r="A89" t="inlineStr">
        <is>
          <t>ORD00088</t>
        </is>
      </c>
      <c r="B89" t="inlineStr">
        <is>
          <t>CUST0023</t>
        </is>
      </c>
      <c r="C89" t="inlineStr">
        <is>
          <t>PROD055</t>
        </is>
      </c>
      <c r="D89" t="inlineStr">
        <is>
          <t>STORE025</t>
        </is>
      </c>
      <c r="E89" t="inlineStr">
        <is>
          <t>DP017</t>
        </is>
      </c>
      <c r="F89" t="inlineStr">
        <is>
          <t>2024-01-11 00:45:00</t>
        </is>
      </c>
      <c r="G89" t="inlineStr">
        <is>
          <t>2024-01-11 01:05:00</t>
        </is>
      </c>
      <c r="H89" s="14" t="n">
        <v>1</v>
      </c>
      <c r="I89" s="13" t="n">
        <v>762.47</v>
      </c>
      <c r="J89" s="13" t="n">
        <v>46.87</v>
      </c>
      <c r="K89" s="16" t="n">
        <v>20</v>
      </c>
      <c r="L89" t="inlineStr">
        <is>
          <t>Delivered</t>
        </is>
      </c>
      <c r="M89" t="inlineStr">
        <is>
          <t>PAY01</t>
        </is>
      </c>
      <c r="N89" t="inlineStr">
        <is>
          <t>Morning</t>
        </is>
      </c>
      <c r="O89">
        <f>INDEX(Products_Catalog!$B$2:$B$151, MATCH(C89, Products_Catalog!$A$2:$A$151, 0))</f>
        <v/>
      </c>
      <c r="P89" s="13">
        <f>INDEX(Products_Catalog!$D$2:$D$151, MATCH(C89, Products_Catalog!$A$2:$A$151, 0))</f>
        <v/>
      </c>
      <c r="Q89" s="13">
        <f>I89-J89</f>
        <v/>
      </c>
      <c r="R89" s="15">
        <f>IF(K89&gt;20, "BREACH", "OK")</f>
        <v/>
      </c>
    </row>
    <row r="90">
      <c r="A90" t="inlineStr">
        <is>
          <t>ORD00089</t>
        </is>
      </c>
      <c r="B90" t="inlineStr">
        <is>
          <t>CUST0029</t>
        </is>
      </c>
      <c r="C90" t="inlineStr">
        <is>
          <t>PROD113</t>
        </is>
      </c>
      <c r="D90" t="inlineStr">
        <is>
          <t>STORE017</t>
        </is>
      </c>
      <c r="E90" t="inlineStr">
        <is>
          <t>DP043</t>
        </is>
      </c>
      <c r="F90" t="inlineStr">
        <is>
          <t>2024-10-29 04:12:00</t>
        </is>
      </c>
      <c r="G90" t="inlineStr">
        <is>
          <t>2024-10-29 04:33:00</t>
        </is>
      </c>
      <c r="H90" s="14" t="n">
        <v>5</v>
      </c>
      <c r="I90" s="13" t="n">
        <v>531.12</v>
      </c>
      <c r="J90" s="13" t="n">
        <v>21.89</v>
      </c>
      <c r="K90" s="16" t="n">
        <v>21</v>
      </c>
      <c r="L90" t="inlineStr">
        <is>
          <t>Cancelled</t>
        </is>
      </c>
      <c r="M90" t="inlineStr">
        <is>
          <t>PAY05</t>
        </is>
      </c>
      <c r="N90" t="inlineStr">
        <is>
          <t>Morning</t>
        </is>
      </c>
      <c r="O90">
        <f>INDEX(Products_Catalog!$B$2:$B$151, MATCH(C90, Products_Catalog!$A$2:$A$151, 0))</f>
        <v/>
      </c>
      <c r="P90" s="13">
        <f>INDEX(Products_Catalog!$D$2:$D$151, MATCH(C90, Products_Catalog!$A$2:$A$151, 0))</f>
        <v/>
      </c>
      <c r="Q90" s="13">
        <f>I90-J90</f>
        <v/>
      </c>
      <c r="R90" s="15">
        <f>IF(K90&gt;20, "BREACH", "OK")</f>
        <v/>
      </c>
    </row>
    <row r="91">
      <c r="A91" t="inlineStr">
        <is>
          <t>ORD00090</t>
        </is>
      </c>
      <c r="B91" t="inlineStr">
        <is>
          <t>CUST0010</t>
        </is>
      </c>
      <c r="C91" t="inlineStr">
        <is>
          <t>PROD099</t>
        </is>
      </c>
      <c r="D91" t="inlineStr">
        <is>
          <t>STORE026</t>
        </is>
      </c>
      <c r="E91" t="inlineStr">
        <is>
          <t>DP004</t>
        </is>
      </c>
      <c r="F91" t="inlineStr">
        <is>
          <t>2024-11-25 08:06:00</t>
        </is>
      </c>
      <c r="G91" t="inlineStr">
        <is>
          <t>2024-11-25 08:28:00</t>
        </is>
      </c>
      <c r="H91" s="14" t="n">
        <v>6</v>
      </c>
      <c r="I91" s="13" t="n">
        <v>353.59</v>
      </c>
      <c r="J91" s="13" t="n">
        <v>43.07</v>
      </c>
      <c r="K91" s="16" t="n">
        <v>22</v>
      </c>
      <c r="L91" t="inlineStr">
        <is>
          <t>Shipped</t>
        </is>
      </c>
      <c r="M91" t="inlineStr">
        <is>
          <t>PAY05</t>
        </is>
      </c>
      <c r="N91" t="inlineStr">
        <is>
          <t>Morning</t>
        </is>
      </c>
      <c r="O91">
        <f>INDEX(Products_Catalog!$B$2:$B$151, MATCH(C91, Products_Catalog!$A$2:$A$151, 0))</f>
        <v/>
      </c>
      <c r="P91" s="13">
        <f>INDEX(Products_Catalog!$D$2:$D$151, MATCH(C91, Products_Catalog!$A$2:$A$151, 0))</f>
        <v/>
      </c>
      <c r="Q91" s="13">
        <f>I91-J91</f>
        <v/>
      </c>
      <c r="R91" s="15">
        <f>IF(K91&gt;20, "BREACH", "OK")</f>
        <v/>
      </c>
    </row>
    <row r="92">
      <c r="A92" t="inlineStr">
        <is>
          <t>ORD00091</t>
        </is>
      </c>
      <c r="B92" t="inlineStr">
        <is>
          <t>CUST0001</t>
        </is>
      </c>
      <c r="C92" t="inlineStr">
        <is>
          <t>PROD075</t>
        </is>
      </c>
      <c r="D92" t="inlineStr">
        <is>
          <t>STORE013</t>
        </is>
      </c>
      <c r="E92" t="inlineStr">
        <is>
          <t>DP050</t>
        </is>
      </c>
      <c r="F92" t="inlineStr">
        <is>
          <t>2024-08-06 11:22:00</t>
        </is>
      </c>
      <c r="G92" t="inlineStr">
        <is>
          <t>2024-08-06 11:45:00</t>
        </is>
      </c>
      <c r="H92" s="14" t="n">
        <v>6</v>
      </c>
      <c r="I92" s="13" t="n">
        <v>979.9</v>
      </c>
      <c r="J92" s="13" t="n">
        <v>11.68</v>
      </c>
      <c r="K92" s="16" t="n">
        <v>23</v>
      </c>
      <c r="L92" t="inlineStr">
        <is>
          <t>Cancelled</t>
        </is>
      </c>
      <c r="M92" t="inlineStr">
        <is>
          <t>PAY01</t>
        </is>
      </c>
      <c r="N92" t="inlineStr">
        <is>
          <t>Morning</t>
        </is>
      </c>
      <c r="O92">
        <f>INDEX(Products_Catalog!$B$2:$B$151, MATCH(C92, Products_Catalog!$A$2:$A$151, 0))</f>
        <v/>
      </c>
      <c r="P92" s="13">
        <f>INDEX(Products_Catalog!$D$2:$D$151, MATCH(C92, Products_Catalog!$A$2:$A$151, 0))</f>
        <v/>
      </c>
      <c r="Q92" s="13">
        <f>I92-J92</f>
        <v/>
      </c>
      <c r="R92" s="15">
        <f>IF(K92&gt;20, "BREACH", "OK")</f>
        <v/>
      </c>
    </row>
    <row r="93">
      <c r="A93" t="inlineStr">
        <is>
          <t>ORD00092</t>
        </is>
      </c>
      <c r="B93" t="inlineStr">
        <is>
          <t>CUST0048</t>
        </is>
      </c>
      <c r="C93" t="inlineStr">
        <is>
          <t>PROD052</t>
        </is>
      </c>
      <c r="D93" t="inlineStr">
        <is>
          <t>STORE020</t>
        </is>
      </c>
      <c r="E93" t="inlineStr">
        <is>
          <t>DP020</t>
        </is>
      </c>
      <c r="F93" t="inlineStr">
        <is>
          <t>2024-07-18 04:12:00</t>
        </is>
      </c>
      <c r="G93" t="inlineStr">
        <is>
          <t>2024-07-18 04:36:00</t>
        </is>
      </c>
      <c r="H93" s="14" t="n">
        <v>5</v>
      </c>
      <c r="I93" s="13" t="n">
        <v>892.54</v>
      </c>
      <c r="J93" s="13" t="n">
        <v>23.76</v>
      </c>
      <c r="K93" s="16" t="n">
        <v>24</v>
      </c>
      <c r="L93" t="inlineStr">
        <is>
          <t>Cancelled</t>
        </is>
      </c>
      <c r="M93" t="inlineStr">
        <is>
          <t>PAY02</t>
        </is>
      </c>
      <c r="N93" t="inlineStr">
        <is>
          <t>Morning</t>
        </is>
      </c>
      <c r="O93">
        <f>INDEX(Products_Catalog!$B$2:$B$151, MATCH(C93, Products_Catalog!$A$2:$A$151, 0))</f>
        <v/>
      </c>
      <c r="P93" s="13">
        <f>INDEX(Products_Catalog!$D$2:$D$151, MATCH(C93, Products_Catalog!$A$2:$A$151, 0))</f>
        <v/>
      </c>
      <c r="Q93" s="13">
        <f>I93-J93</f>
        <v/>
      </c>
      <c r="R93" s="15">
        <f>IF(K93&gt;20, "BREACH", "OK")</f>
        <v/>
      </c>
    </row>
    <row r="94">
      <c r="A94" t="inlineStr">
        <is>
          <t>ORD00093</t>
        </is>
      </c>
      <c r="B94" t="inlineStr">
        <is>
          <t>CUST0002</t>
        </is>
      </c>
      <c r="C94" t="inlineStr">
        <is>
          <t>PROD026</t>
        </is>
      </c>
      <c r="D94" t="inlineStr">
        <is>
          <t>STORE004</t>
        </is>
      </c>
      <c r="E94" t="inlineStr">
        <is>
          <t>DP022</t>
        </is>
      </c>
      <c r="F94" t="inlineStr">
        <is>
          <t>2024-07-09 09:51:00</t>
        </is>
      </c>
      <c r="G94" t="inlineStr">
        <is>
          <t>2024-07-09 10:16:00</t>
        </is>
      </c>
      <c r="H94" s="14" t="n">
        <v>2</v>
      </c>
      <c r="I94" s="13" t="n">
        <v>782.92</v>
      </c>
      <c r="J94" s="13" t="n">
        <v>80.27</v>
      </c>
      <c r="K94" s="16" t="n">
        <v>25</v>
      </c>
      <c r="L94" t="inlineStr">
        <is>
          <t>Shipped</t>
        </is>
      </c>
      <c r="M94" t="inlineStr">
        <is>
          <t>PAY03</t>
        </is>
      </c>
      <c r="N94" t="inlineStr">
        <is>
          <t>Morning</t>
        </is>
      </c>
      <c r="O94">
        <f>INDEX(Products_Catalog!$B$2:$B$151, MATCH(C94, Products_Catalog!$A$2:$A$151, 0))</f>
        <v/>
      </c>
      <c r="P94" s="13">
        <f>INDEX(Products_Catalog!$D$2:$D$151, MATCH(C94, Products_Catalog!$A$2:$A$151, 0))</f>
        <v/>
      </c>
      <c r="Q94" s="13">
        <f>I94-J94</f>
        <v/>
      </c>
      <c r="R94" s="15">
        <f>IF(K94&gt;20, "BREACH", "OK")</f>
        <v/>
      </c>
    </row>
    <row r="95">
      <c r="A95" t="inlineStr">
        <is>
          <t>ORD00094</t>
        </is>
      </c>
      <c r="B95" t="inlineStr">
        <is>
          <t>CUST0037</t>
        </is>
      </c>
      <c r="C95" t="inlineStr">
        <is>
          <t>PROD075</t>
        </is>
      </c>
      <c r="D95" t="inlineStr">
        <is>
          <t>STORE033</t>
        </is>
      </c>
      <c r="E95" t="inlineStr">
        <is>
          <t>DP025</t>
        </is>
      </c>
      <c r="F95" t="inlineStr">
        <is>
          <t>2024-06-26 08:38:00</t>
        </is>
      </c>
      <c r="G95" t="inlineStr">
        <is>
          <t>2024-06-26 09:04:00</t>
        </is>
      </c>
      <c r="H95" s="14" t="n">
        <v>2</v>
      </c>
      <c r="I95" s="13" t="n">
        <v>309.19</v>
      </c>
      <c r="J95" s="13" t="n">
        <v>32.36</v>
      </c>
      <c r="K95" s="16" t="n">
        <v>26</v>
      </c>
      <c r="L95" t="inlineStr">
        <is>
          <t>Pending</t>
        </is>
      </c>
      <c r="M95" t="inlineStr">
        <is>
          <t>PAY01</t>
        </is>
      </c>
      <c r="N95" t="inlineStr">
        <is>
          <t>Morning</t>
        </is>
      </c>
      <c r="O95">
        <f>INDEX(Products_Catalog!$B$2:$B$151, MATCH(C95, Products_Catalog!$A$2:$A$151, 0))</f>
        <v/>
      </c>
      <c r="P95" s="13">
        <f>INDEX(Products_Catalog!$D$2:$D$151, MATCH(C95, Products_Catalog!$A$2:$A$151, 0))</f>
        <v/>
      </c>
      <c r="Q95" s="13">
        <f>I95-J95</f>
        <v/>
      </c>
      <c r="R95" s="15">
        <f>IF(K95&gt;20, "BREACH", "OK")</f>
        <v/>
      </c>
    </row>
    <row r="96">
      <c r="A96" t="inlineStr">
        <is>
          <t>ORD00095</t>
        </is>
      </c>
      <c r="B96" t="inlineStr">
        <is>
          <t>CUST0002</t>
        </is>
      </c>
      <c r="C96" t="inlineStr">
        <is>
          <t>PROD121</t>
        </is>
      </c>
      <c r="D96" t="inlineStr">
        <is>
          <t>STORE025</t>
        </is>
      </c>
      <c r="E96" t="inlineStr">
        <is>
          <t>DP014</t>
        </is>
      </c>
      <c r="F96" t="inlineStr">
        <is>
          <t>2024-10-23 02:27:00</t>
        </is>
      </c>
      <c r="G96" t="inlineStr">
        <is>
          <t>2024-10-23 02:54:00</t>
        </is>
      </c>
      <c r="H96" s="14" t="n">
        <v>2</v>
      </c>
      <c r="I96" s="13" t="n">
        <v>537.83</v>
      </c>
      <c r="J96" s="13" t="n">
        <v>99.40000000000001</v>
      </c>
      <c r="K96" s="16" t="n">
        <v>27</v>
      </c>
      <c r="L96" t="inlineStr">
        <is>
          <t>Cancelled</t>
        </is>
      </c>
      <c r="M96" t="inlineStr">
        <is>
          <t>PAY02</t>
        </is>
      </c>
      <c r="N96" t="inlineStr">
        <is>
          <t>Morning</t>
        </is>
      </c>
      <c r="O96">
        <f>INDEX(Products_Catalog!$B$2:$B$151, MATCH(C96, Products_Catalog!$A$2:$A$151, 0))</f>
        <v/>
      </c>
      <c r="P96" s="13">
        <f>INDEX(Products_Catalog!$D$2:$D$151, MATCH(C96, Products_Catalog!$A$2:$A$151, 0))</f>
        <v/>
      </c>
      <c r="Q96" s="13">
        <f>I96-J96</f>
        <v/>
      </c>
      <c r="R96" s="15">
        <f>IF(K96&gt;20, "BREACH", "OK")</f>
        <v/>
      </c>
    </row>
    <row r="97">
      <c r="A97" t="inlineStr">
        <is>
          <t>ORD00096</t>
        </is>
      </c>
      <c r="B97" t="inlineStr">
        <is>
          <t>CUST0032</t>
        </is>
      </c>
      <c r="C97" t="inlineStr">
        <is>
          <t>PROD131</t>
        </is>
      </c>
      <c r="D97" t="inlineStr">
        <is>
          <t>STORE038</t>
        </is>
      </c>
      <c r="E97" t="inlineStr">
        <is>
          <t>DP020</t>
        </is>
      </c>
      <c r="F97" t="inlineStr">
        <is>
          <t>2024-07-21 03:51:00</t>
        </is>
      </c>
      <c r="G97" t="inlineStr">
        <is>
          <t>2024-07-21 04:19:00</t>
        </is>
      </c>
      <c r="H97" s="14" t="n">
        <v>3</v>
      </c>
      <c r="I97" s="13" t="n">
        <v>481.95</v>
      </c>
      <c r="J97" s="13" t="n">
        <v>96.27</v>
      </c>
      <c r="K97" s="16" t="n">
        <v>28</v>
      </c>
      <c r="L97" t="inlineStr">
        <is>
          <t>Delivered</t>
        </is>
      </c>
      <c r="M97" t="inlineStr">
        <is>
          <t>PAY04</t>
        </is>
      </c>
      <c r="N97" t="inlineStr">
        <is>
          <t>Morning</t>
        </is>
      </c>
      <c r="O97">
        <f>INDEX(Products_Catalog!$B$2:$B$151, MATCH(C97, Products_Catalog!$A$2:$A$151, 0))</f>
        <v/>
      </c>
      <c r="P97" s="13">
        <f>INDEX(Products_Catalog!$D$2:$D$151, MATCH(C97, Products_Catalog!$A$2:$A$151, 0))</f>
        <v/>
      </c>
      <c r="Q97" s="13">
        <f>I97-J97</f>
        <v/>
      </c>
      <c r="R97" s="15">
        <f>IF(K97&gt;20, "BREACH", "OK")</f>
        <v/>
      </c>
    </row>
    <row r="98">
      <c r="A98" t="inlineStr">
        <is>
          <t>ORD00097</t>
        </is>
      </c>
      <c r="B98" t="inlineStr">
        <is>
          <t>CUST0026</t>
        </is>
      </c>
      <c r="C98" t="inlineStr">
        <is>
          <t>PROD100</t>
        </is>
      </c>
      <c r="D98" t="inlineStr">
        <is>
          <t>STORE012</t>
        </is>
      </c>
      <c r="E98" t="inlineStr">
        <is>
          <t>DP039</t>
        </is>
      </c>
      <c r="F98" t="inlineStr">
        <is>
          <t>2024-01-25 10:53:00</t>
        </is>
      </c>
      <c r="G98" t="inlineStr">
        <is>
          <t>2024-01-25 11:22:00</t>
        </is>
      </c>
      <c r="H98" s="14" t="n">
        <v>2</v>
      </c>
      <c r="I98" s="13" t="n">
        <v>724.87</v>
      </c>
      <c r="J98" s="13" t="n">
        <v>98.98999999999999</v>
      </c>
      <c r="K98" s="16" t="n">
        <v>29</v>
      </c>
      <c r="L98" t="inlineStr">
        <is>
          <t>Delivered</t>
        </is>
      </c>
      <c r="M98" t="inlineStr">
        <is>
          <t>PAY03</t>
        </is>
      </c>
      <c r="N98" t="inlineStr">
        <is>
          <t>Morning</t>
        </is>
      </c>
      <c r="O98">
        <f>INDEX(Products_Catalog!$B$2:$B$151, MATCH(C98, Products_Catalog!$A$2:$A$151, 0))</f>
        <v/>
      </c>
      <c r="P98" s="13">
        <f>INDEX(Products_Catalog!$D$2:$D$151, MATCH(C98, Products_Catalog!$A$2:$A$151, 0))</f>
        <v/>
      </c>
      <c r="Q98" s="13">
        <f>I98-J98</f>
        <v/>
      </c>
      <c r="R98" s="15">
        <f>IF(K98&gt;20, "BREACH", "OK")</f>
        <v/>
      </c>
    </row>
    <row r="99">
      <c r="A99" t="inlineStr">
        <is>
          <t>ORD00098</t>
        </is>
      </c>
      <c r="B99" t="inlineStr">
        <is>
          <t>CUST0005</t>
        </is>
      </c>
      <c r="C99" t="inlineStr">
        <is>
          <t>PROD150</t>
        </is>
      </c>
      <c r="D99" t="inlineStr">
        <is>
          <t>STORE033</t>
        </is>
      </c>
      <c r="E99" t="inlineStr">
        <is>
          <t>DP037</t>
        </is>
      </c>
      <c r="F99" t="inlineStr">
        <is>
          <t>2024-10-13 06:57:00</t>
        </is>
      </c>
      <c r="G99" t="inlineStr">
        <is>
          <t>2024-10-13 07:27:00</t>
        </is>
      </c>
      <c r="H99" s="14" t="n">
        <v>6</v>
      </c>
      <c r="I99" s="13" t="n">
        <v>871.0599999999999</v>
      </c>
      <c r="J99" s="13" t="n">
        <v>94.45999999999999</v>
      </c>
      <c r="K99" s="16" t="n">
        <v>30</v>
      </c>
      <c r="L99" t="inlineStr">
        <is>
          <t>Pending</t>
        </is>
      </c>
      <c r="M99" t="inlineStr">
        <is>
          <t>PAY02</t>
        </is>
      </c>
      <c r="N99" t="inlineStr">
        <is>
          <t>Morning</t>
        </is>
      </c>
      <c r="O99">
        <f>INDEX(Products_Catalog!$B$2:$B$151, MATCH(C99, Products_Catalog!$A$2:$A$151, 0))</f>
        <v/>
      </c>
      <c r="P99" s="13">
        <f>INDEX(Products_Catalog!$D$2:$D$151, MATCH(C99, Products_Catalog!$A$2:$A$151, 0))</f>
        <v/>
      </c>
      <c r="Q99" s="13">
        <f>I99-J99</f>
        <v/>
      </c>
      <c r="R99" s="15">
        <f>IF(K99&gt;20, "BREACH", "OK")</f>
        <v/>
      </c>
    </row>
    <row r="100">
      <c r="A100" t="inlineStr">
        <is>
          <t>ORD00099</t>
        </is>
      </c>
      <c r="B100" t="inlineStr">
        <is>
          <t>CUST0024</t>
        </is>
      </c>
      <c r="C100" t="inlineStr">
        <is>
          <t>PROD122</t>
        </is>
      </c>
      <c r="D100" t="inlineStr">
        <is>
          <t>STORE029</t>
        </is>
      </c>
      <c r="E100" t="inlineStr">
        <is>
          <t>DP024</t>
        </is>
      </c>
      <c r="F100" t="inlineStr">
        <is>
          <t>2024-09-10 07:15:00</t>
        </is>
      </c>
      <c r="G100" t="inlineStr">
        <is>
          <t>2024-09-10 07:25:00</t>
        </is>
      </c>
      <c r="H100" s="14" t="n">
        <v>2</v>
      </c>
      <c r="I100" s="13" t="n">
        <v>145.64</v>
      </c>
      <c r="J100" s="13" t="n">
        <v>90.33</v>
      </c>
      <c r="K100" s="16" t="n">
        <v>10</v>
      </c>
      <c r="L100" t="inlineStr">
        <is>
          <t>Shipped</t>
        </is>
      </c>
      <c r="M100" t="inlineStr">
        <is>
          <t>PAY04</t>
        </is>
      </c>
      <c r="N100" t="inlineStr">
        <is>
          <t>Morning</t>
        </is>
      </c>
      <c r="O100">
        <f>INDEX(Products_Catalog!$B$2:$B$151, MATCH(C100, Products_Catalog!$A$2:$A$151, 0))</f>
        <v/>
      </c>
      <c r="P100" s="13">
        <f>INDEX(Products_Catalog!$D$2:$D$151, MATCH(C100, Products_Catalog!$A$2:$A$151, 0))</f>
        <v/>
      </c>
      <c r="Q100" s="13">
        <f>I100-J100</f>
        <v/>
      </c>
      <c r="R100" s="15">
        <f>IF(K100&gt;20, "BREACH", "OK")</f>
        <v/>
      </c>
    </row>
    <row r="101">
      <c r="A101" t="inlineStr">
        <is>
          <t>ORD00100</t>
        </is>
      </c>
      <c r="B101" t="inlineStr">
        <is>
          <t>CUST0020</t>
        </is>
      </c>
      <c r="C101" t="inlineStr">
        <is>
          <t>PROD062</t>
        </is>
      </c>
      <c r="D101" t="inlineStr">
        <is>
          <t>STORE021</t>
        </is>
      </c>
      <c r="E101" t="inlineStr">
        <is>
          <t>DP004</t>
        </is>
      </c>
      <c r="F101" t="inlineStr">
        <is>
          <t>2024-04-28 02:13:00</t>
        </is>
      </c>
      <c r="G101" t="inlineStr">
        <is>
          <t>2024-04-28 02:24:00</t>
        </is>
      </c>
      <c r="H101" s="14" t="n">
        <v>6</v>
      </c>
      <c r="I101" s="13" t="n">
        <v>505.16</v>
      </c>
      <c r="J101" s="13" t="n">
        <v>45.34</v>
      </c>
      <c r="K101" s="16" t="n">
        <v>11</v>
      </c>
      <c r="L101" t="inlineStr">
        <is>
          <t>Delivered</t>
        </is>
      </c>
      <c r="M101" t="inlineStr">
        <is>
          <t>PAY02</t>
        </is>
      </c>
      <c r="N101" t="inlineStr">
        <is>
          <t>Morning</t>
        </is>
      </c>
      <c r="O101">
        <f>INDEX(Products_Catalog!$B$2:$B$151, MATCH(C101, Products_Catalog!$A$2:$A$151, 0))</f>
        <v/>
      </c>
      <c r="P101" s="13">
        <f>INDEX(Products_Catalog!$D$2:$D$151, MATCH(C101, Products_Catalog!$A$2:$A$151, 0))</f>
        <v/>
      </c>
      <c r="Q101" s="13">
        <f>I101-J101</f>
        <v/>
      </c>
      <c r="R101" s="15">
        <f>IF(K101&gt;20, "BREACH", "OK")</f>
        <v/>
      </c>
    </row>
    <row r="102">
      <c r="A102" t="inlineStr">
        <is>
          <t>ORD01001</t>
        </is>
      </c>
      <c r="B102" t="inlineStr">
        <is>
          <t>CUST0045</t>
        </is>
      </c>
      <c r="C102" t="inlineStr">
        <is>
          <t>PROD058</t>
        </is>
      </c>
      <c r="D102" t="inlineStr">
        <is>
          <t>STORE005</t>
        </is>
      </c>
      <c r="E102" t="inlineStr">
        <is>
          <t>DP036</t>
        </is>
      </c>
      <c r="F102" t="inlineStr">
        <is>
          <t>2024-10-21 11:55:00</t>
        </is>
      </c>
      <c r="G102" t="inlineStr">
        <is>
          <t>2024-10-21 12:07:00</t>
        </is>
      </c>
      <c r="H102" s="14" t="n">
        <v>3</v>
      </c>
      <c r="I102" s="13" t="n">
        <v>1359.45</v>
      </c>
      <c r="J102" s="13" t="n">
        <v>314.12</v>
      </c>
      <c r="K102" s="16" t="n">
        <v>12</v>
      </c>
      <c r="L102" t="inlineStr">
        <is>
          <t>Pending</t>
        </is>
      </c>
      <c r="M102" t="inlineStr">
        <is>
          <t>PAY02</t>
        </is>
      </c>
      <c r="N102" t="inlineStr">
        <is>
          <t>Morning</t>
        </is>
      </c>
      <c r="O102">
        <f>INDEX(Products_Catalog!$B$2:$B$151, MATCH(C102, Products_Catalog!$A$2:$A$151, 0))</f>
        <v/>
      </c>
      <c r="P102" s="13">
        <f>INDEX(Products_Catalog!$D$2:$D$151, MATCH(C102, Products_Catalog!$A$2:$A$151, 0))</f>
        <v/>
      </c>
      <c r="Q102" s="13">
        <f>I102-J102</f>
        <v/>
      </c>
      <c r="R102" s="15">
        <f>IF(K102&gt;20, "BREACH", "OK")</f>
        <v/>
      </c>
    </row>
    <row r="103">
      <c r="A103" t="inlineStr">
        <is>
          <t>ORD01002</t>
        </is>
      </c>
      <c r="B103" t="inlineStr">
        <is>
          <t>CUST0017</t>
        </is>
      </c>
      <c r="C103" t="inlineStr">
        <is>
          <t>PROD125</t>
        </is>
      </c>
      <c r="D103" t="inlineStr">
        <is>
          <t>STORE011</t>
        </is>
      </c>
      <c r="E103" t="inlineStr">
        <is>
          <t>DP050</t>
        </is>
      </c>
      <c r="F103" t="inlineStr">
        <is>
          <t>2024-05-11 09:59:00</t>
        </is>
      </c>
      <c r="G103" t="inlineStr">
        <is>
          <t>2024-05-11 10:12:00</t>
        </is>
      </c>
      <c r="H103" s="14" t="n">
        <v>4</v>
      </c>
      <c r="I103" s="13" t="n">
        <v>1594.8</v>
      </c>
      <c r="J103" s="13" t="n">
        <v>102.98</v>
      </c>
      <c r="K103" s="16" t="n">
        <v>13</v>
      </c>
      <c r="L103" t="inlineStr">
        <is>
          <t>Pending</t>
        </is>
      </c>
      <c r="M103" t="inlineStr">
        <is>
          <t>PAY03</t>
        </is>
      </c>
      <c r="N103" t="inlineStr">
        <is>
          <t>Morning</t>
        </is>
      </c>
      <c r="O103">
        <f>INDEX(Products_Catalog!$B$2:$B$151, MATCH(C103, Products_Catalog!$A$2:$A$151, 0))</f>
        <v/>
      </c>
      <c r="P103" s="13">
        <f>INDEX(Products_Catalog!$D$2:$D$151, MATCH(C103, Products_Catalog!$A$2:$A$151, 0))</f>
        <v/>
      </c>
      <c r="Q103" s="13">
        <f>I103-J103</f>
        <v/>
      </c>
      <c r="R103" s="15">
        <f>IF(K103&gt;20, "BREACH", "OK")</f>
        <v/>
      </c>
    </row>
    <row r="104">
      <c r="A104" t="inlineStr">
        <is>
          <t>ORD01003</t>
        </is>
      </c>
      <c r="B104" t="inlineStr">
        <is>
          <t>CUST0006</t>
        </is>
      </c>
      <c r="C104" t="inlineStr">
        <is>
          <t>PROD150</t>
        </is>
      </c>
      <c r="D104" t="inlineStr">
        <is>
          <t>STORE018</t>
        </is>
      </c>
      <c r="E104" t="inlineStr">
        <is>
          <t>DP037</t>
        </is>
      </c>
      <c r="F104" t="inlineStr">
        <is>
          <t>2025-05-06 15:24:00</t>
        </is>
      </c>
      <c r="G104" t="inlineStr">
        <is>
          <t>2025-05-06 15:38:00</t>
        </is>
      </c>
      <c r="H104" s="14" t="n">
        <v>4</v>
      </c>
      <c r="I104" s="13" t="n">
        <v>496.76</v>
      </c>
      <c r="J104" s="13" t="n">
        <v>88.8</v>
      </c>
      <c r="K104" s="16" t="n">
        <v>14</v>
      </c>
      <c r="L104" t="inlineStr">
        <is>
          <t>Returned</t>
        </is>
      </c>
      <c r="M104" t="inlineStr">
        <is>
          <t>PAY01</t>
        </is>
      </c>
      <c r="N104" t="inlineStr">
        <is>
          <t>Afternoon</t>
        </is>
      </c>
      <c r="O104">
        <f>INDEX(Products_Catalog!$B$2:$B$151, MATCH(C104, Products_Catalog!$A$2:$A$151, 0))</f>
        <v/>
      </c>
      <c r="P104" s="13">
        <f>INDEX(Products_Catalog!$D$2:$D$151, MATCH(C104, Products_Catalog!$A$2:$A$151, 0))</f>
        <v/>
      </c>
      <c r="Q104" s="13">
        <f>I104-J104</f>
        <v/>
      </c>
      <c r="R104" s="15">
        <f>IF(K104&gt;20, "BREACH", "OK")</f>
        <v/>
      </c>
    </row>
    <row r="105">
      <c r="A105" t="inlineStr">
        <is>
          <t>ORD01004</t>
        </is>
      </c>
      <c r="B105" t="inlineStr">
        <is>
          <t>CUST0044</t>
        </is>
      </c>
      <c r="C105" t="inlineStr">
        <is>
          <t>PROD082</t>
        </is>
      </c>
      <c r="D105" t="inlineStr">
        <is>
          <t>STORE025</t>
        </is>
      </c>
      <c r="E105" t="inlineStr">
        <is>
          <t>DP003</t>
        </is>
      </c>
      <c r="F105" t="inlineStr">
        <is>
          <t>2024-09-07 20:43:00</t>
        </is>
      </c>
      <c r="G105" t="inlineStr">
        <is>
          <t>2024-09-07 20:58:00</t>
        </is>
      </c>
      <c r="H105" s="14" t="n">
        <v>10</v>
      </c>
      <c r="I105" s="13" t="n">
        <v>2308.1</v>
      </c>
      <c r="J105" s="13" t="n">
        <v>640.85</v>
      </c>
      <c r="K105" s="16" t="n">
        <v>15</v>
      </c>
      <c r="L105" t="inlineStr">
        <is>
          <t>Cancelled</t>
        </is>
      </c>
      <c r="M105" t="inlineStr">
        <is>
          <t>PAY05</t>
        </is>
      </c>
      <c r="N105" t="inlineStr">
        <is>
          <t>Evening</t>
        </is>
      </c>
      <c r="O105">
        <f>INDEX(Products_Catalog!$B$2:$B$151, MATCH(C105, Products_Catalog!$A$2:$A$151, 0))</f>
        <v/>
      </c>
      <c r="P105" s="13">
        <f>INDEX(Products_Catalog!$D$2:$D$151, MATCH(C105, Products_Catalog!$A$2:$A$151, 0))</f>
        <v/>
      </c>
      <c r="Q105" s="13">
        <f>I105-J105</f>
        <v/>
      </c>
      <c r="R105" s="15">
        <f>IF(K105&gt;20, "BREACH", "OK")</f>
        <v/>
      </c>
    </row>
    <row r="106">
      <c r="A106" t="inlineStr">
        <is>
          <t>ORD01006</t>
        </is>
      </c>
      <c r="B106" t="inlineStr">
        <is>
          <t>CUST0024</t>
        </is>
      </c>
      <c r="C106" t="inlineStr">
        <is>
          <t>PROD125</t>
        </is>
      </c>
      <c r="D106" t="inlineStr">
        <is>
          <t>STORE017</t>
        </is>
      </c>
      <c r="E106" t="inlineStr">
        <is>
          <t>DP039</t>
        </is>
      </c>
      <c r="F106" t="inlineStr">
        <is>
          <t>2025-03-05 10:42:00</t>
        </is>
      </c>
      <c r="G106" t="inlineStr">
        <is>
          <t>2025-03-05 10:59:00</t>
        </is>
      </c>
      <c r="H106" s="14" t="n">
        <v>4</v>
      </c>
      <c r="I106" s="13" t="n">
        <v>1974.96</v>
      </c>
      <c r="J106" s="13" t="n">
        <v>252.61</v>
      </c>
      <c r="K106" s="16" t="n">
        <v>17</v>
      </c>
      <c r="L106" t="inlineStr">
        <is>
          <t>Delivered</t>
        </is>
      </c>
      <c r="M106" t="inlineStr">
        <is>
          <t>PAY03</t>
        </is>
      </c>
      <c r="N106" t="inlineStr">
        <is>
          <t>Morning</t>
        </is>
      </c>
      <c r="O106">
        <f>INDEX(Products_Catalog!$B$2:$B$151, MATCH(C106, Products_Catalog!$A$2:$A$151, 0))</f>
        <v/>
      </c>
      <c r="P106" s="13">
        <f>INDEX(Products_Catalog!$D$2:$D$151, MATCH(C106, Products_Catalog!$A$2:$A$151, 0))</f>
        <v/>
      </c>
      <c r="Q106" s="13">
        <f>I106-J106</f>
        <v/>
      </c>
      <c r="R106" s="15">
        <f>IF(K106&gt;20, "BREACH", "OK")</f>
        <v/>
      </c>
    </row>
    <row r="107">
      <c r="A107" t="inlineStr">
        <is>
          <t>ORD01007</t>
        </is>
      </c>
      <c r="B107" t="inlineStr">
        <is>
          <t>CUST0040</t>
        </is>
      </c>
      <c r="C107" t="inlineStr">
        <is>
          <t>PROD125</t>
        </is>
      </c>
      <c r="D107" t="inlineStr">
        <is>
          <t>STORE008</t>
        </is>
      </c>
      <c r="E107" t="inlineStr">
        <is>
          <t>DP007</t>
        </is>
      </c>
      <c r="F107" t="inlineStr">
        <is>
          <t>2025-05-03 18:50:00</t>
        </is>
      </c>
      <c r="G107" t="inlineStr">
        <is>
          <t>2025-05-03 19:08:00</t>
        </is>
      </c>
      <c r="H107" s="14" t="n">
        <v>2</v>
      </c>
      <c r="I107" s="13" t="n">
        <v>923.36</v>
      </c>
      <c r="J107" s="13" t="n">
        <v>31</v>
      </c>
      <c r="K107" s="16" t="n">
        <v>18</v>
      </c>
      <c r="L107" t="inlineStr">
        <is>
          <t>Shipped</t>
        </is>
      </c>
      <c r="M107" t="inlineStr">
        <is>
          <t>PAY01</t>
        </is>
      </c>
      <c r="N107" t="inlineStr">
        <is>
          <t>Evening</t>
        </is>
      </c>
      <c r="O107">
        <f>INDEX(Products_Catalog!$B$2:$B$151, MATCH(C107, Products_Catalog!$A$2:$A$151, 0))</f>
        <v/>
      </c>
      <c r="P107" s="13">
        <f>INDEX(Products_Catalog!$D$2:$D$151, MATCH(C107, Products_Catalog!$A$2:$A$151, 0))</f>
        <v/>
      </c>
      <c r="Q107" s="13">
        <f>I107-J107</f>
        <v/>
      </c>
      <c r="R107" s="15">
        <f>IF(K107&gt;20, "BREACH", "OK")</f>
        <v/>
      </c>
    </row>
    <row r="108">
      <c r="A108" t="inlineStr">
        <is>
          <t>ORD01008</t>
        </is>
      </c>
      <c r="B108" t="inlineStr">
        <is>
          <t>CUST0039</t>
        </is>
      </c>
      <c r="C108" t="inlineStr">
        <is>
          <t>PROD102</t>
        </is>
      </c>
      <c r="D108" t="inlineStr">
        <is>
          <t>STORE018</t>
        </is>
      </c>
      <c r="E108" t="inlineStr">
        <is>
          <t>DP003</t>
        </is>
      </c>
      <c r="F108" t="inlineStr">
        <is>
          <t>2024-10-24 19:38:00</t>
        </is>
      </c>
      <c r="G108" t="inlineStr">
        <is>
          <t>2024-10-24 19:57:00</t>
        </is>
      </c>
      <c r="H108" s="14" t="n">
        <v>5</v>
      </c>
      <c r="I108" s="13" t="n">
        <v>1022.1</v>
      </c>
      <c r="J108" s="13" t="n">
        <v>117.68</v>
      </c>
      <c r="K108" s="16" t="n">
        <v>19</v>
      </c>
      <c r="L108" t="inlineStr">
        <is>
          <t>Pending</t>
        </is>
      </c>
      <c r="M108" t="inlineStr">
        <is>
          <t>PAY01</t>
        </is>
      </c>
      <c r="N108" t="inlineStr">
        <is>
          <t>Evening</t>
        </is>
      </c>
      <c r="O108">
        <f>INDEX(Products_Catalog!$B$2:$B$151, MATCH(C108, Products_Catalog!$A$2:$A$151, 0))</f>
        <v/>
      </c>
      <c r="P108" s="13">
        <f>INDEX(Products_Catalog!$D$2:$D$151, MATCH(C108, Products_Catalog!$A$2:$A$151, 0))</f>
        <v/>
      </c>
      <c r="Q108" s="13">
        <f>I108-J108</f>
        <v/>
      </c>
      <c r="R108" s="15">
        <f>IF(K108&gt;20, "BREACH", "OK")</f>
        <v/>
      </c>
    </row>
    <row r="109">
      <c r="A109" t="inlineStr">
        <is>
          <t>ORD01011</t>
        </is>
      </c>
      <c r="B109" t="inlineStr">
        <is>
          <t>CUST0025</t>
        </is>
      </c>
      <c r="C109" t="inlineStr">
        <is>
          <t>PROD014</t>
        </is>
      </c>
      <c r="D109" t="inlineStr">
        <is>
          <t>STORE019</t>
        </is>
      </c>
      <c r="E109" t="inlineStr">
        <is>
          <t>DP011</t>
        </is>
      </c>
      <c r="F109" t="inlineStr">
        <is>
          <t>2024-08-25 10:23:00</t>
        </is>
      </c>
      <c r="G109" t="inlineStr">
        <is>
          <t>2024-08-25 10:45:00</t>
        </is>
      </c>
      <c r="H109" s="14" t="n">
        <v>5</v>
      </c>
      <c r="I109" s="13" t="n">
        <v>1053.95</v>
      </c>
      <c r="J109" s="13" t="n">
        <v>13.4</v>
      </c>
      <c r="K109" s="16" t="n">
        <v>22</v>
      </c>
      <c r="L109" t="inlineStr">
        <is>
          <t>Returned</t>
        </is>
      </c>
      <c r="M109" t="inlineStr">
        <is>
          <t>PAY04</t>
        </is>
      </c>
      <c r="N109" t="inlineStr">
        <is>
          <t>Morning</t>
        </is>
      </c>
      <c r="O109">
        <f>INDEX(Products_Catalog!$B$2:$B$151, MATCH(C109, Products_Catalog!$A$2:$A$151, 0))</f>
        <v/>
      </c>
      <c r="P109" s="13">
        <f>INDEX(Products_Catalog!$D$2:$D$151, MATCH(C109, Products_Catalog!$A$2:$A$151, 0))</f>
        <v/>
      </c>
      <c r="Q109" s="13">
        <f>I109-J109</f>
        <v/>
      </c>
      <c r="R109" s="15">
        <f>IF(K109&gt;20, "BREACH", "OK")</f>
        <v/>
      </c>
    </row>
    <row r="110">
      <c r="A110" t="inlineStr">
        <is>
          <t>ORD01012</t>
        </is>
      </c>
      <c r="B110" t="inlineStr">
        <is>
          <t>CUST0002</t>
        </is>
      </c>
      <c r="C110" t="inlineStr">
        <is>
          <t>PROD098</t>
        </is>
      </c>
      <c r="D110" t="inlineStr">
        <is>
          <t>STORE035</t>
        </is>
      </c>
      <c r="E110" t="inlineStr">
        <is>
          <t>DP041</t>
        </is>
      </c>
      <c r="F110" t="inlineStr">
        <is>
          <t>2025-02-24 13:01:00</t>
        </is>
      </c>
      <c r="G110" t="inlineStr">
        <is>
          <t>2025-02-24 13:24:00</t>
        </is>
      </c>
      <c r="H110" s="14" t="n">
        <v>10</v>
      </c>
      <c r="I110" s="13" t="n">
        <v>1709</v>
      </c>
      <c r="J110" s="13" t="n">
        <v>90.70999999999999</v>
      </c>
      <c r="K110" s="16" t="n">
        <v>23</v>
      </c>
      <c r="L110" t="inlineStr">
        <is>
          <t>Delivered</t>
        </is>
      </c>
      <c r="M110" t="inlineStr">
        <is>
          <t>PAY03</t>
        </is>
      </c>
      <c r="N110" t="inlineStr">
        <is>
          <t>Afternoon</t>
        </is>
      </c>
      <c r="O110">
        <f>INDEX(Products_Catalog!$B$2:$B$151, MATCH(C110, Products_Catalog!$A$2:$A$151, 0))</f>
        <v/>
      </c>
      <c r="P110" s="13">
        <f>INDEX(Products_Catalog!$D$2:$D$151, MATCH(C110, Products_Catalog!$A$2:$A$151, 0))</f>
        <v/>
      </c>
      <c r="Q110" s="13">
        <f>I110-J110</f>
        <v/>
      </c>
      <c r="R110" s="15">
        <f>IF(K110&gt;20, "BREACH", "OK")</f>
        <v/>
      </c>
    </row>
    <row r="111">
      <c r="A111" t="inlineStr">
        <is>
          <t>ORD01013</t>
        </is>
      </c>
      <c r="B111" t="inlineStr">
        <is>
          <t>CUST0042</t>
        </is>
      </c>
      <c r="C111" t="inlineStr">
        <is>
          <t>PROD024</t>
        </is>
      </c>
      <c r="D111" t="inlineStr">
        <is>
          <t>STORE041</t>
        </is>
      </c>
      <c r="E111" t="inlineStr">
        <is>
          <t>DP009</t>
        </is>
      </c>
      <c r="F111" t="inlineStr">
        <is>
          <t>2025-04-28 16:31:00</t>
        </is>
      </c>
      <c r="G111" t="inlineStr">
        <is>
          <t>2025-04-28 16:55:00</t>
        </is>
      </c>
      <c r="H111" s="14" t="n">
        <v>3</v>
      </c>
      <c r="I111" s="13" t="n">
        <v>407.79</v>
      </c>
      <c r="J111" s="13" t="n">
        <v>100.67</v>
      </c>
      <c r="K111" s="16" t="n">
        <v>24</v>
      </c>
      <c r="L111" t="inlineStr">
        <is>
          <t>Cancelled</t>
        </is>
      </c>
      <c r="M111" t="inlineStr">
        <is>
          <t>PAY01</t>
        </is>
      </c>
      <c r="N111" t="inlineStr">
        <is>
          <t>Afternoon</t>
        </is>
      </c>
      <c r="O111">
        <f>INDEX(Products_Catalog!$B$2:$B$151, MATCH(C111, Products_Catalog!$A$2:$A$151, 0))</f>
        <v/>
      </c>
      <c r="P111" s="13">
        <f>INDEX(Products_Catalog!$D$2:$D$151, MATCH(C111, Products_Catalog!$A$2:$A$151, 0))</f>
        <v/>
      </c>
      <c r="Q111" s="13">
        <f>I111-J111</f>
        <v/>
      </c>
      <c r="R111" s="15">
        <f>IF(K111&gt;20, "BREACH", "OK")</f>
        <v/>
      </c>
    </row>
    <row r="112">
      <c r="A112" t="inlineStr">
        <is>
          <t>ORD01015</t>
        </is>
      </c>
      <c r="B112" t="inlineStr">
        <is>
          <t>CUST0018</t>
        </is>
      </c>
      <c r="C112" t="inlineStr">
        <is>
          <t>PROD109</t>
        </is>
      </c>
      <c r="D112" t="inlineStr">
        <is>
          <t>STORE047</t>
        </is>
      </c>
      <c r="E112" t="inlineStr">
        <is>
          <t>DP040</t>
        </is>
      </c>
      <c r="F112" t="inlineStr">
        <is>
          <t>2024-08-17 08:23:00</t>
        </is>
      </c>
      <c r="G112" t="inlineStr">
        <is>
          <t>2024-08-17 08:49:00</t>
        </is>
      </c>
      <c r="H112" s="14" t="n">
        <v>5</v>
      </c>
      <c r="I112" s="13" t="n">
        <v>551.1</v>
      </c>
      <c r="J112" s="13" t="n">
        <v>46.25</v>
      </c>
      <c r="K112" s="16" t="n">
        <v>26</v>
      </c>
      <c r="L112" t="inlineStr">
        <is>
          <t>Cancelled</t>
        </is>
      </c>
      <c r="M112" t="inlineStr">
        <is>
          <t>PAY05</t>
        </is>
      </c>
      <c r="N112" t="inlineStr">
        <is>
          <t>Morning</t>
        </is>
      </c>
      <c r="O112">
        <f>INDEX(Products_Catalog!$B$2:$B$151, MATCH(C112, Products_Catalog!$A$2:$A$151, 0))</f>
        <v/>
      </c>
      <c r="P112" s="13">
        <f>INDEX(Products_Catalog!$D$2:$D$151, MATCH(C112, Products_Catalog!$A$2:$A$151, 0))</f>
        <v/>
      </c>
      <c r="Q112" s="13">
        <f>I112-J112</f>
        <v/>
      </c>
      <c r="R112" s="15">
        <f>IF(K112&gt;20, "BREACH", "OK")</f>
        <v/>
      </c>
    </row>
    <row r="113">
      <c r="A113" t="inlineStr">
        <is>
          <t>ORD01016</t>
        </is>
      </c>
      <c r="B113" t="inlineStr">
        <is>
          <t>CUST0034</t>
        </is>
      </c>
      <c r="C113" t="inlineStr">
        <is>
          <t>PROD088</t>
        </is>
      </c>
      <c r="D113" t="inlineStr">
        <is>
          <t>STORE035</t>
        </is>
      </c>
      <c r="E113" t="inlineStr">
        <is>
          <t>DP014</t>
        </is>
      </c>
      <c r="F113" t="inlineStr">
        <is>
          <t>2024-11-20 16:35:00</t>
        </is>
      </c>
      <c r="G113" t="inlineStr">
        <is>
          <t>2024-11-20 17:02:00</t>
        </is>
      </c>
      <c r="H113" s="14" t="n">
        <v>7</v>
      </c>
      <c r="I113" s="13" t="n">
        <v>1962.03</v>
      </c>
      <c r="J113" s="13" t="n">
        <v>544.3</v>
      </c>
      <c r="K113" s="16" t="n">
        <v>27</v>
      </c>
      <c r="L113" t="inlineStr">
        <is>
          <t>Shipped</t>
        </is>
      </c>
      <c r="M113" t="inlineStr">
        <is>
          <t>PAY04</t>
        </is>
      </c>
      <c r="N113" t="inlineStr">
        <is>
          <t>Afternoon</t>
        </is>
      </c>
      <c r="O113">
        <f>INDEX(Products_Catalog!$B$2:$B$151, MATCH(C113, Products_Catalog!$A$2:$A$151, 0))</f>
        <v/>
      </c>
      <c r="P113" s="13">
        <f>INDEX(Products_Catalog!$D$2:$D$151, MATCH(C113, Products_Catalog!$A$2:$A$151, 0))</f>
        <v/>
      </c>
      <c r="Q113" s="13">
        <f>I113-J113</f>
        <v/>
      </c>
      <c r="R113" s="15">
        <f>IF(K113&gt;20, "BREACH", "OK")</f>
        <v/>
      </c>
    </row>
    <row r="114">
      <c r="A114" t="inlineStr">
        <is>
          <t>ORD01023</t>
        </is>
      </c>
      <c r="B114" t="inlineStr">
        <is>
          <t>CUST0002</t>
        </is>
      </c>
      <c r="C114" t="inlineStr">
        <is>
          <t>PROD116</t>
        </is>
      </c>
      <c r="D114" t="inlineStr">
        <is>
          <t>STORE049</t>
        </is>
      </c>
      <c r="E114" t="inlineStr">
        <is>
          <t>DP026</t>
        </is>
      </c>
      <c r="F114" t="inlineStr">
        <is>
          <t>2025-06-07 15:58:00</t>
        </is>
      </c>
      <c r="G114" t="inlineStr">
        <is>
          <t>2025-06-07 16:11:00</t>
        </is>
      </c>
      <c r="H114" s="14" t="n">
        <v>5</v>
      </c>
      <c r="I114" s="13" t="n">
        <v>1963.3</v>
      </c>
      <c r="J114" s="13" t="n">
        <v>475.19</v>
      </c>
      <c r="K114" s="16" t="n">
        <v>13</v>
      </c>
      <c r="L114" t="inlineStr">
        <is>
          <t>Returned</t>
        </is>
      </c>
      <c r="M114" t="inlineStr">
        <is>
          <t>PAY02</t>
        </is>
      </c>
      <c r="N114" t="inlineStr">
        <is>
          <t>Afternoon</t>
        </is>
      </c>
      <c r="O114">
        <f>INDEX(Products_Catalog!$B$2:$B$151, MATCH(C114, Products_Catalog!$A$2:$A$151, 0))</f>
        <v/>
      </c>
      <c r="P114" s="13">
        <f>INDEX(Products_Catalog!$D$2:$D$151, MATCH(C114, Products_Catalog!$A$2:$A$151, 0))</f>
        <v/>
      </c>
      <c r="Q114" s="13">
        <f>I114-J114</f>
        <v/>
      </c>
      <c r="R114" s="15">
        <f>IF(K114&gt;20, "BREACH", "OK")</f>
        <v/>
      </c>
    </row>
    <row r="115">
      <c r="A115" t="inlineStr">
        <is>
          <t>ORD01025</t>
        </is>
      </c>
      <c r="B115" t="inlineStr">
        <is>
          <t>CUST0038</t>
        </is>
      </c>
      <c r="C115" t="inlineStr">
        <is>
          <t>PROD080</t>
        </is>
      </c>
      <c r="D115" t="inlineStr">
        <is>
          <t>STORE020</t>
        </is>
      </c>
      <c r="E115" t="inlineStr">
        <is>
          <t>DP020</t>
        </is>
      </c>
      <c r="F115" t="inlineStr">
        <is>
          <t>2024-02-23 12:53:00</t>
        </is>
      </c>
      <c r="G115" t="inlineStr">
        <is>
          <t>2024-02-23 13:08:00</t>
        </is>
      </c>
      <c r="H115" s="14" t="n">
        <v>5</v>
      </c>
      <c r="I115" s="13" t="n">
        <v>881.25</v>
      </c>
      <c r="J115" s="13" t="n">
        <v>215.55</v>
      </c>
      <c r="K115" s="16" t="n">
        <v>15</v>
      </c>
      <c r="L115" t="inlineStr">
        <is>
          <t>Cancelled</t>
        </is>
      </c>
      <c r="M115" t="inlineStr">
        <is>
          <t>PAY02</t>
        </is>
      </c>
      <c r="N115" t="inlineStr">
        <is>
          <t>Afternoon</t>
        </is>
      </c>
      <c r="O115">
        <f>INDEX(Products_Catalog!$B$2:$B$151, MATCH(C115, Products_Catalog!$A$2:$A$151, 0))</f>
        <v/>
      </c>
      <c r="P115" s="13">
        <f>INDEX(Products_Catalog!$D$2:$D$151, MATCH(C115, Products_Catalog!$A$2:$A$151, 0))</f>
        <v/>
      </c>
      <c r="Q115" s="13">
        <f>I115-J115</f>
        <v/>
      </c>
      <c r="R115" s="15">
        <f>IF(K115&gt;20, "BREACH", "OK")</f>
        <v/>
      </c>
    </row>
    <row r="116">
      <c r="A116" t="inlineStr">
        <is>
          <t>ORD01027</t>
        </is>
      </c>
      <c r="B116" t="inlineStr">
        <is>
          <t>CUST0015</t>
        </is>
      </c>
      <c r="C116" t="inlineStr">
        <is>
          <t>PROD002</t>
        </is>
      </c>
      <c r="D116" t="inlineStr">
        <is>
          <t>STORE029</t>
        </is>
      </c>
      <c r="E116" t="inlineStr">
        <is>
          <t>DP010</t>
        </is>
      </c>
      <c r="F116" t="inlineStr">
        <is>
          <t>2025-05-11 15:12:00</t>
        </is>
      </c>
      <c r="G116" t="inlineStr">
        <is>
          <t>2025-05-11 15:29:00</t>
        </is>
      </c>
      <c r="H116" s="14" t="n">
        <v>2</v>
      </c>
      <c r="I116" s="13" t="n">
        <v>256.86</v>
      </c>
      <c r="J116" s="13" t="n">
        <v>64.62</v>
      </c>
      <c r="K116" s="16" t="n">
        <v>17</v>
      </c>
      <c r="L116" t="inlineStr">
        <is>
          <t>Pending</t>
        </is>
      </c>
      <c r="M116" t="inlineStr">
        <is>
          <t>PAY03</t>
        </is>
      </c>
      <c r="N116" t="inlineStr">
        <is>
          <t>Afternoon</t>
        </is>
      </c>
      <c r="O116">
        <f>INDEX(Products_Catalog!$B$2:$B$151, MATCH(C116, Products_Catalog!$A$2:$A$151, 0))</f>
        <v/>
      </c>
      <c r="P116" s="13">
        <f>INDEX(Products_Catalog!$D$2:$D$151, MATCH(C116, Products_Catalog!$A$2:$A$151, 0))</f>
        <v/>
      </c>
      <c r="Q116" s="13">
        <f>I116-J116</f>
        <v/>
      </c>
      <c r="R116" s="15">
        <f>IF(K116&gt;20, "BREACH", "OK")</f>
        <v/>
      </c>
    </row>
    <row r="117">
      <c r="A117" t="inlineStr">
        <is>
          <t>ORD01028</t>
        </is>
      </c>
      <c r="B117" t="inlineStr">
        <is>
          <t>CUST0046</t>
        </is>
      </c>
      <c r="C117" t="inlineStr">
        <is>
          <t>PROD022</t>
        </is>
      </c>
      <c r="D117" t="inlineStr">
        <is>
          <t>STORE007</t>
        </is>
      </c>
      <c r="E117" t="inlineStr">
        <is>
          <t>DP020</t>
        </is>
      </c>
      <c r="F117" t="inlineStr">
        <is>
          <t>2025-06-09 10:59:00</t>
        </is>
      </c>
      <c r="G117" t="inlineStr">
        <is>
          <t>2025-06-09 11:27:00</t>
        </is>
      </c>
      <c r="H117" s="14" t="n">
        <v>1</v>
      </c>
      <c r="I117" s="13" t="n">
        <v>478.65</v>
      </c>
      <c r="J117" s="13" t="n">
        <v>115.84</v>
      </c>
      <c r="K117" s="16" t="n">
        <v>28</v>
      </c>
      <c r="L117" t="inlineStr">
        <is>
          <t>Shipped</t>
        </is>
      </c>
      <c r="M117" t="inlineStr">
        <is>
          <t>PAY03</t>
        </is>
      </c>
      <c r="N117" t="inlineStr">
        <is>
          <t>Morning</t>
        </is>
      </c>
      <c r="O117">
        <f>INDEX(Products_Catalog!$B$2:$B$151, MATCH(C117, Products_Catalog!$A$2:$A$151, 0))</f>
        <v/>
      </c>
      <c r="P117" s="13">
        <f>INDEX(Products_Catalog!$D$2:$D$151, MATCH(C117, Products_Catalog!$A$2:$A$151, 0))</f>
        <v/>
      </c>
      <c r="Q117" s="13">
        <f>I117-J117</f>
        <v/>
      </c>
      <c r="R117" s="15">
        <f>IF(K117&gt;20, "BREACH", "OK")</f>
        <v/>
      </c>
    </row>
    <row r="118">
      <c r="A118" t="inlineStr">
        <is>
          <t>ORD01030</t>
        </is>
      </c>
      <c r="B118" t="inlineStr">
        <is>
          <t>CUST0011</t>
        </is>
      </c>
      <c r="C118" t="inlineStr">
        <is>
          <t>PROD027</t>
        </is>
      </c>
      <c r="D118" t="inlineStr">
        <is>
          <t>STORE020</t>
        </is>
      </c>
      <c r="E118" t="inlineStr">
        <is>
          <t>DP015</t>
        </is>
      </c>
      <c r="F118" t="inlineStr">
        <is>
          <t>2024-05-10 14:24:00</t>
        </is>
      </c>
      <c r="G118" t="inlineStr">
        <is>
          <t>2024-05-10 14:54:00</t>
        </is>
      </c>
      <c r="H118" s="14" t="n">
        <v>3</v>
      </c>
      <c r="I118" s="13" t="n">
        <v>221.31</v>
      </c>
      <c r="J118" s="13" t="n">
        <v>63.37</v>
      </c>
      <c r="K118" s="16" t="n">
        <v>30</v>
      </c>
      <c r="L118" t="inlineStr">
        <is>
          <t>Cancelled</t>
        </is>
      </c>
      <c r="M118" t="inlineStr">
        <is>
          <t>PAY01</t>
        </is>
      </c>
      <c r="N118" t="inlineStr">
        <is>
          <t>Afternoon</t>
        </is>
      </c>
      <c r="O118">
        <f>INDEX(Products_Catalog!$B$2:$B$151, MATCH(C118, Products_Catalog!$A$2:$A$151, 0))</f>
        <v/>
      </c>
      <c r="P118" s="13">
        <f>INDEX(Products_Catalog!$D$2:$D$151, MATCH(C118, Products_Catalog!$A$2:$A$151, 0))</f>
        <v/>
      </c>
      <c r="Q118" s="13">
        <f>I118-J118</f>
        <v/>
      </c>
      <c r="R118" s="15">
        <f>IF(K118&gt;20, "BREACH", "OK")</f>
        <v/>
      </c>
    </row>
    <row r="119">
      <c r="A119" t="inlineStr">
        <is>
          <t>ORD01031</t>
        </is>
      </c>
      <c r="B119" t="inlineStr">
        <is>
          <t>CUST0032</t>
        </is>
      </c>
      <c r="C119" t="inlineStr">
        <is>
          <t>PROD108</t>
        </is>
      </c>
      <c r="D119" t="inlineStr">
        <is>
          <t>STORE004</t>
        </is>
      </c>
      <c r="E119" t="inlineStr">
        <is>
          <t>DP008</t>
        </is>
      </c>
      <c r="F119" t="inlineStr">
        <is>
          <t>2024-03-09 20:30:00</t>
        </is>
      </c>
      <c r="G119" t="inlineStr">
        <is>
          <t>2024-03-09 20:40:00</t>
        </is>
      </c>
      <c r="H119" s="14" t="n">
        <v>9</v>
      </c>
      <c r="I119" s="13" t="n">
        <v>3123.63</v>
      </c>
      <c r="J119" s="13" t="n">
        <v>677.3099999999999</v>
      </c>
      <c r="K119" s="16" t="n">
        <v>10</v>
      </c>
      <c r="L119" t="inlineStr">
        <is>
          <t>Pending</t>
        </is>
      </c>
      <c r="M119" t="inlineStr">
        <is>
          <t>PAY01</t>
        </is>
      </c>
      <c r="N119" t="inlineStr">
        <is>
          <t>Evening</t>
        </is>
      </c>
      <c r="O119">
        <f>INDEX(Products_Catalog!$B$2:$B$151, MATCH(C119, Products_Catalog!$A$2:$A$151, 0))</f>
        <v/>
      </c>
      <c r="P119" s="13">
        <f>INDEX(Products_Catalog!$D$2:$D$151, MATCH(C119, Products_Catalog!$A$2:$A$151, 0))</f>
        <v/>
      </c>
      <c r="Q119" s="13">
        <f>I119-J119</f>
        <v/>
      </c>
      <c r="R119" s="15">
        <f>IF(K119&gt;20, "BREACH", "OK")</f>
        <v/>
      </c>
    </row>
    <row r="120">
      <c r="A120" t="inlineStr">
        <is>
          <t>ORD01033</t>
        </is>
      </c>
      <c r="B120" t="inlineStr">
        <is>
          <t>CUST0045</t>
        </is>
      </c>
      <c r="C120" t="inlineStr">
        <is>
          <t>PROD052</t>
        </is>
      </c>
      <c r="D120" t="inlineStr">
        <is>
          <t>STORE041</t>
        </is>
      </c>
      <c r="E120" t="inlineStr">
        <is>
          <t>DP022</t>
        </is>
      </c>
      <c r="F120" t="inlineStr">
        <is>
          <t>2024-04-15 20:00:00</t>
        </is>
      </c>
      <c r="G120" t="inlineStr">
        <is>
          <t>2024-04-15 20:12:00</t>
        </is>
      </c>
      <c r="H120" s="14" t="n">
        <v>6</v>
      </c>
      <c r="I120" s="13" t="n">
        <v>2973.24</v>
      </c>
      <c r="J120" s="13" t="n">
        <v>42.73</v>
      </c>
      <c r="K120" s="16" t="n">
        <v>12</v>
      </c>
      <c r="L120" t="inlineStr">
        <is>
          <t>Pending</t>
        </is>
      </c>
      <c r="M120" t="inlineStr">
        <is>
          <t>PAY01</t>
        </is>
      </c>
      <c r="N120" t="inlineStr">
        <is>
          <t>Evening</t>
        </is>
      </c>
      <c r="O120">
        <f>INDEX(Products_Catalog!$B$2:$B$151, MATCH(C120, Products_Catalog!$A$2:$A$151, 0))</f>
        <v/>
      </c>
      <c r="P120" s="13">
        <f>INDEX(Products_Catalog!$D$2:$D$151, MATCH(C120, Products_Catalog!$A$2:$A$151, 0))</f>
        <v/>
      </c>
      <c r="Q120" s="13">
        <f>I120-J120</f>
        <v/>
      </c>
      <c r="R120" s="15">
        <f>IF(K120&gt;20, "BREACH", "OK")</f>
        <v/>
      </c>
    </row>
    <row r="121">
      <c r="A121" t="inlineStr">
        <is>
          <t>ORD01034</t>
        </is>
      </c>
      <c r="B121" t="inlineStr">
        <is>
          <t>CUST0020</t>
        </is>
      </c>
      <c r="C121" t="inlineStr">
        <is>
          <t>PROD078</t>
        </is>
      </c>
      <c r="D121" t="inlineStr">
        <is>
          <t>STORE033</t>
        </is>
      </c>
      <c r="E121" t="inlineStr">
        <is>
          <t>DP008</t>
        </is>
      </c>
      <c r="F121" t="inlineStr">
        <is>
          <t>2024-03-13 15:47:00</t>
        </is>
      </c>
      <c r="G121" t="inlineStr">
        <is>
          <t>2024-03-13 16:00:00</t>
        </is>
      </c>
      <c r="H121" s="14" t="n">
        <v>7</v>
      </c>
      <c r="I121" s="13" t="n">
        <v>2415.42</v>
      </c>
      <c r="J121" s="13" t="n">
        <v>328.41</v>
      </c>
      <c r="K121" s="16" t="n">
        <v>13</v>
      </c>
      <c r="L121" t="inlineStr">
        <is>
          <t>Cancelled</t>
        </is>
      </c>
      <c r="M121" t="inlineStr">
        <is>
          <t>PAY04</t>
        </is>
      </c>
      <c r="N121" t="inlineStr">
        <is>
          <t>Afternoon</t>
        </is>
      </c>
      <c r="O121">
        <f>INDEX(Products_Catalog!$B$2:$B$151, MATCH(C121, Products_Catalog!$A$2:$A$151, 0))</f>
        <v/>
      </c>
      <c r="P121" s="13">
        <f>INDEX(Products_Catalog!$D$2:$D$151, MATCH(C121, Products_Catalog!$A$2:$A$151, 0))</f>
        <v/>
      </c>
      <c r="Q121" s="13">
        <f>I121-J121</f>
        <v/>
      </c>
      <c r="R121" s="15">
        <f>IF(K121&gt;20, "BREACH", "OK")</f>
        <v/>
      </c>
    </row>
    <row r="122">
      <c r="A122" t="inlineStr">
        <is>
          <t>ORD01035</t>
        </is>
      </c>
      <c r="B122" t="inlineStr">
        <is>
          <t>CUST0006</t>
        </is>
      </c>
      <c r="C122" t="inlineStr">
        <is>
          <t>PROD020</t>
        </is>
      </c>
      <c r="D122" t="inlineStr">
        <is>
          <t>STORE041</t>
        </is>
      </c>
      <c r="E122" t="inlineStr">
        <is>
          <t>DP008</t>
        </is>
      </c>
      <c r="F122" t="inlineStr">
        <is>
          <t>2024-04-28 11:54:00</t>
        </is>
      </c>
      <c r="G122" t="inlineStr">
        <is>
          <t>2024-04-28 12:08:00</t>
        </is>
      </c>
      <c r="H122" s="14" t="n">
        <v>2</v>
      </c>
      <c r="I122" s="13" t="n">
        <v>497.74</v>
      </c>
      <c r="J122" s="13" t="n">
        <v>87.84999999999999</v>
      </c>
      <c r="K122" s="16" t="n">
        <v>14</v>
      </c>
      <c r="L122" t="inlineStr">
        <is>
          <t>Shipped</t>
        </is>
      </c>
      <c r="M122" t="inlineStr">
        <is>
          <t>PAY04</t>
        </is>
      </c>
      <c r="N122" t="inlineStr">
        <is>
          <t>Morning</t>
        </is>
      </c>
      <c r="O122">
        <f>INDEX(Products_Catalog!$B$2:$B$151, MATCH(C122, Products_Catalog!$A$2:$A$151, 0))</f>
        <v/>
      </c>
      <c r="P122" s="13">
        <f>INDEX(Products_Catalog!$D$2:$D$151, MATCH(C122, Products_Catalog!$A$2:$A$151, 0))</f>
        <v/>
      </c>
      <c r="Q122" s="13">
        <f>I122-J122</f>
        <v/>
      </c>
      <c r="R122" s="15">
        <f>IF(K122&gt;20, "BREACH", "OK")</f>
        <v/>
      </c>
    </row>
    <row r="123">
      <c r="A123" t="inlineStr">
        <is>
          <t>ORD01036</t>
        </is>
      </c>
      <c r="B123" t="inlineStr">
        <is>
          <t>CUST0027</t>
        </is>
      </c>
      <c r="C123" t="inlineStr">
        <is>
          <t>PROD140</t>
        </is>
      </c>
      <c r="D123" t="inlineStr">
        <is>
          <t>STORE030</t>
        </is>
      </c>
      <c r="E123" t="inlineStr">
        <is>
          <t>DP005</t>
        </is>
      </c>
      <c r="F123" t="inlineStr">
        <is>
          <t>2025-04-28 12:32:00</t>
        </is>
      </c>
      <c r="G123" t="inlineStr">
        <is>
          <t>2025-04-28 12:47:00</t>
        </is>
      </c>
      <c r="H123" s="14" t="n">
        <v>8</v>
      </c>
      <c r="I123" s="13" t="n">
        <v>3256.16</v>
      </c>
      <c r="J123" s="13" t="n">
        <v>323.56</v>
      </c>
      <c r="K123" s="16" t="n">
        <v>15</v>
      </c>
      <c r="L123" t="inlineStr">
        <is>
          <t>Pending</t>
        </is>
      </c>
      <c r="M123" t="inlineStr">
        <is>
          <t>PAY01</t>
        </is>
      </c>
      <c r="N123" t="inlineStr">
        <is>
          <t>Afternoon</t>
        </is>
      </c>
      <c r="O123">
        <f>INDEX(Products_Catalog!$B$2:$B$151, MATCH(C123, Products_Catalog!$A$2:$A$151, 0))</f>
        <v/>
      </c>
      <c r="P123" s="13">
        <f>INDEX(Products_Catalog!$D$2:$D$151, MATCH(C123, Products_Catalog!$A$2:$A$151, 0))</f>
        <v/>
      </c>
      <c r="Q123" s="13">
        <f>I123-J123</f>
        <v/>
      </c>
      <c r="R123" s="15">
        <f>IF(K123&gt;20, "BREACH", "OK")</f>
        <v/>
      </c>
    </row>
    <row r="124">
      <c r="A124" t="inlineStr">
        <is>
          <t>ORD01037</t>
        </is>
      </c>
      <c r="B124" t="inlineStr">
        <is>
          <t>CUST0036</t>
        </is>
      </c>
      <c r="C124" t="inlineStr">
        <is>
          <t>PROD137</t>
        </is>
      </c>
      <c r="D124" t="inlineStr">
        <is>
          <t>STORE042</t>
        </is>
      </c>
      <c r="E124" t="inlineStr">
        <is>
          <t>DP050</t>
        </is>
      </c>
      <c r="F124" t="inlineStr">
        <is>
          <t>2024-01-25 10:12:00</t>
        </is>
      </c>
      <c r="G124" t="inlineStr">
        <is>
          <t>2024-01-25 10:28:00</t>
        </is>
      </c>
      <c r="H124" s="14" t="n">
        <v>9</v>
      </c>
      <c r="I124" s="13" t="n">
        <v>3045.33</v>
      </c>
      <c r="J124" s="13" t="n">
        <v>446.95</v>
      </c>
      <c r="K124" s="16" t="n">
        <v>16</v>
      </c>
      <c r="L124" t="inlineStr">
        <is>
          <t>Returned</t>
        </is>
      </c>
      <c r="M124" t="inlineStr">
        <is>
          <t>PAY03</t>
        </is>
      </c>
      <c r="N124" t="inlineStr">
        <is>
          <t>Morning</t>
        </is>
      </c>
      <c r="O124">
        <f>INDEX(Products_Catalog!$B$2:$B$151, MATCH(C124, Products_Catalog!$A$2:$A$151, 0))</f>
        <v/>
      </c>
      <c r="P124" s="13">
        <f>INDEX(Products_Catalog!$D$2:$D$151, MATCH(C124, Products_Catalog!$A$2:$A$151, 0))</f>
        <v/>
      </c>
      <c r="Q124" s="13">
        <f>I124-J124</f>
        <v/>
      </c>
      <c r="R124" s="15">
        <f>IF(K124&gt;20, "BREACH", "OK")</f>
        <v/>
      </c>
    </row>
    <row r="125">
      <c r="A125" t="inlineStr">
        <is>
          <t>ORD01038</t>
        </is>
      </c>
      <c r="B125" t="inlineStr">
        <is>
          <t>CUST0021</t>
        </is>
      </c>
      <c r="C125" t="inlineStr">
        <is>
          <t>PROD008</t>
        </is>
      </c>
      <c r="D125" t="inlineStr">
        <is>
          <t>STORE001</t>
        </is>
      </c>
      <c r="E125" t="inlineStr">
        <is>
          <t>DP038</t>
        </is>
      </c>
      <c r="F125" t="inlineStr">
        <is>
          <t>2024-10-22 09:30:00</t>
        </is>
      </c>
      <c r="G125" t="inlineStr">
        <is>
          <t>2024-10-22 09:47:00</t>
        </is>
      </c>
      <c r="H125" s="14" t="n">
        <v>3</v>
      </c>
      <c r="I125" s="13" t="n">
        <v>1036.86</v>
      </c>
      <c r="J125" s="13" t="n">
        <v>32.12</v>
      </c>
      <c r="K125" s="16" t="n">
        <v>17</v>
      </c>
      <c r="L125" t="inlineStr">
        <is>
          <t>Pending</t>
        </is>
      </c>
      <c r="M125" t="inlineStr">
        <is>
          <t>PAY05</t>
        </is>
      </c>
      <c r="N125" t="inlineStr">
        <is>
          <t>Morning</t>
        </is>
      </c>
      <c r="O125">
        <f>INDEX(Products_Catalog!$B$2:$B$151, MATCH(C125, Products_Catalog!$A$2:$A$151, 0))</f>
        <v/>
      </c>
      <c r="P125" s="13">
        <f>INDEX(Products_Catalog!$D$2:$D$151, MATCH(C125, Products_Catalog!$A$2:$A$151, 0))</f>
        <v/>
      </c>
      <c r="Q125" s="13">
        <f>I125-J125</f>
        <v/>
      </c>
      <c r="R125" s="15">
        <f>IF(K125&gt;20, "BREACH", "OK")</f>
        <v/>
      </c>
    </row>
    <row r="126">
      <c r="A126" t="inlineStr">
        <is>
          <t>ORD01042</t>
        </is>
      </c>
      <c r="B126" t="inlineStr">
        <is>
          <t>CUST0043</t>
        </is>
      </c>
      <c r="C126" t="inlineStr">
        <is>
          <t>PROD090</t>
        </is>
      </c>
      <c r="D126" t="inlineStr">
        <is>
          <t>STORE029</t>
        </is>
      </c>
      <c r="E126" t="inlineStr">
        <is>
          <t>DP046</t>
        </is>
      </c>
      <c r="F126" t="inlineStr">
        <is>
          <t>2024-12-02 10:03:00</t>
        </is>
      </c>
      <c r="G126" t="inlineStr">
        <is>
          <t>2024-12-02 10:24:00</t>
        </is>
      </c>
      <c r="H126" s="14" t="n">
        <v>3</v>
      </c>
      <c r="I126" s="13" t="n">
        <v>1165.23</v>
      </c>
      <c r="J126" s="13" t="n">
        <v>217.8</v>
      </c>
      <c r="K126" s="16" t="n">
        <v>21</v>
      </c>
      <c r="L126" t="inlineStr">
        <is>
          <t>Returned</t>
        </is>
      </c>
      <c r="M126" t="inlineStr">
        <is>
          <t>PAY05</t>
        </is>
      </c>
      <c r="N126" t="inlineStr">
        <is>
          <t>Morning</t>
        </is>
      </c>
      <c r="O126">
        <f>INDEX(Products_Catalog!$B$2:$B$151, MATCH(C126, Products_Catalog!$A$2:$A$151, 0))</f>
        <v/>
      </c>
      <c r="P126" s="13">
        <f>INDEX(Products_Catalog!$D$2:$D$151, MATCH(C126, Products_Catalog!$A$2:$A$151, 0))</f>
        <v/>
      </c>
      <c r="Q126" s="13">
        <f>I126-J126</f>
        <v/>
      </c>
      <c r="R126" s="15">
        <f>IF(K126&gt;20, "BREACH", "OK")</f>
        <v/>
      </c>
    </row>
    <row r="127">
      <c r="A127" t="inlineStr">
        <is>
          <t>ORD01043</t>
        </is>
      </c>
      <c r="B127" t="inlineStr">
        <is>
          <t>CUST0027</t>
        </is>
      </c>
      <c r="C127" t="inlineStr">
        <is>
          <t>PROD103</t>
        </is>
      </c>
      <c r="D127" t="inlineStr">
        <is>
          <t>STORE006</t>
        </is>
      </c>
      <c r="E127" t="inlineStr">
        <is>
          <t>DP024</t>
        </is>
      </c>
      <c r="F127" t="inlineStr">
        <is>
          <t>2025-03-22 16:23:00</t>
        </is>
      </c>
      <c r="G127" t="inlineStr">
        <is>
          <t>2025-03-22 16:45:00</t>
        </is>
      </c>
      <c r="H127" s="14" t="n">
        <v>4</v>
      </c>
      <c r="I127" s="13" t="n">
        <v>1063.52</v>
      </c>
      <c r="J127" s="13" t="n">
        <v>234.79</v>
      </c>
      <c r="K127" s="16" t="n">
        <v>22</v>
      </c>
      <c r="L127" t="inlineStr">
        <is>
          <t>Delivered</t>
        </is>
      </c>
      <c r="M127" t="inlineStr">
        <is>
          <t>PAY03</t>
        </is>
      </c>
      <c r="N127" t="inlineStr">
        <is>
          <t>Afternoon</t>
        </is>
      </c>
      <c r="O127">
        <f>INDEX(Products_Catalog!$B$2:$B$151, MATCH(C127, Products_Catalog!$A$2:$A$151, 0))</f>
        <v/>
      </c>
      <c r="P127" s="13">
        <f>INDEX(Products_Catalog!$D$2:$D$151, MATCH(C127, Products_Catalog!$A$2:$A$151, 0))</f>
        <v/>
      </c>
      <c r="Q127" s="13">
        <f>I127-J127</f>
        <v/>
      </c>
      <c r="R127" s="15">
        <f>IF(K127&gt;20, "BREACH", "OK")</f>
        <v/>
      </c>
    </row>
    <row r="128">
      <c r="A128" t="inlineStr">
        <is>
          <t>ORD01044</t>
        </is>
      </c>
      <c r="B128" t="inlineStr">
        <is>
          <t>CUST0025</t>
        </is>
      </c>
      <c r="C128" t="inlineStr">
        <is>
          <t>PROD034</t>
        </is>
      </c>
      <c r="D128" t="inlineStr">
        <is>
          <t>STORE015</t>
        </is>
      </c>
      <c r="E128" t="inlineStr">
        <is>
          <t>DP023</t>
        </is>
      </c>
      <c r="F128" t="inlineStr">
        <is>
          <t>2024-06-05 19:55:00</t>
        </is>
      </c>
      <c r="G128" t="inlineStr">
        <is>
          <t>2024-06-05 20:18:00</t>
        </is>
      </c>
      <c r="H128" s="14" t="n">
        <v>8</v>
      </c>
      <c r="I128" s="13" t="n">
        <v>2651.28</v>
      </c>
      <c r="J128" s="13" t="n">
        <v>412.93</v>
      </c>
      <c r="K128" s="16" t="n">
        <v>23</v>
      </c>
      <c r="L128" t="inlineStr">
        <is>
          <t>Shipped</t>
        </is>
      </c>
      <c r="M128" t="inlineStr">
        <is>
          <t>PAY01</t>
        </is>
      </c>
      <c r="N128" t="inlineStr">
        <is>
          <t>Evening</t>
        </is>
      </c>
      <c r="O128">
        <f>INDEX(Products_Catalog!$B$2:$B$151, MATCH(C128, Products_Catalog!$A$2:$A$151, 0))</f>
        <v/>
      </c>
      <c r="P128" s="13">
        <f>INDEX(Products_Catalog!$D$2:$D$151, MATCH(C128, Products_Catalog!$A$2:$A$151, 0))</f>
        <v/>
      </c>
      <c r="Q128" s="13">
        <f>I128-J128</f>
        <v/>
      </c>
      <c r="R128" s="15">
        <f>IF(K128&gt;20, "BREACH", "OK")</f>
        <v/>
      </c>
    </row>
    <row r="129">
      <c r="A129" t="inlineStr">
        <is>
          <t>ORD01045</t>
        </is>
      </c>
      <c r="B129" t="inlineStr">
        <is>
          <t>CUST0037</t>
        </is>
      </c>
      <c r="C129" t="inlineStr">
        <is>
          <t>PROD075</t>
        </is>
      </c>
      <c r="D129" t="inlineStr">
        <is>
          <t>STORE007</t>
        </is>
      </c>
      <c r="E129" t="inlineStr">
        <is>
          <t>DP032</t>
        </is>
      </c>
      <c r="F129" t="inlineStr">
        <is>
          <t>2024-02-13 10:38:00</t>
        </is>
      </c>
      <c r="G129" t="inlineStr">
        <is>
          <t>2024-02-13 11:02:00</t>
        </is>
      </c>
      <c r="H129" s="14" t="n">
        <v>3</v>
      </c>
      <c r="I129" s="13" t="n">
        <v>958.89</v>
      </c>
      <c r="J129" s="13" t="n">
        <v>60.12</v>
      </c>
      <c r="K129" s="16" t="n">
        <v>24</v>
      </c>
      <c r="L129" t="inlineStr">
        <is>
          <t>Delivered</t>
        </is>
      </c>
      <c r="M129" t="inlineStr">
        <is>
          <t>PAY01</t>
        </is>
      </c>
      <c r="N129" t="inlineStr">
        <is>
          <t>Morning</t>
        </is>
      </c>
      <c r="O129">
        <f>INDEX(Products_Catalog!$B$2:$B$151, MATCH(C129, Products_Catalog!$A$2:$A$151, 0))</f>
        <v/>
      </c>
      <c r="P129" s="13">
        <f>INDEX(Products_Catalog!$D$2:$D$151, MATCH(C129, Products_Catalog!$A$2:$A$151, 0))</f>
        <v/>
      </c>
      <c r="Q129" s="13">
        <f>I129-J129</f>
        <v/>
      </c>
      <c r="R129" s="15">
        <f>IF(K129&gt;20, "BREACH", "OK")</f>
        <v/>
      </c>
    </row>
    <row r="130">
      <c r="A130" t="inlineStr">
        <is>
          <t>ORD01046</t>
        </is>
      </c>
      <c r="B130" t="inlineStr">
        <is>
          <t>CUST0049</t>
        </is>
      </c>
      <c r="C130" t="inlineStr">
        <is>
          <t>PROD107</t>
        </is>
      </c>
      <c r="D130" t="inlineStr">
        <is>
          <t>STORE040</t>
        </is>
      </c>
      <c r="E130" t="inlineStr">
        <is>
          <t>DP036</t>
        </is>
      </c>
      <c r="F130" t="inlineStr">
        <is>
          <t>2025-05-16 11:22:00</t>
        </is>
      </c>
      <c r="G130" t="inlineStr">
        <is>
          <t>2025-05-16 11:47:00</t>
        </is>
      </c>
      <c r="H130" s="14" t="n">
        <v>7</v>
      </c>
      <c r="I130" s="13" t="n">
        <v>2393.09</v>
      </c>
      <c r="J130" s="13" t="n">
        <v>431.75</v>
      </c>
      <c r="K130" s="16" t="n">
        <v>25</v>
      </c>
      <c r="L130" t="inlineStr">
        <is>
          <t>Cancelled</t>
        </is>
      </c>
      <c r="M130" t="inlineStr">
        <is>
          <t>PAY04</t>
        </is>
      </c>
      <c r="N130" t="inlineStr">
        <is>
          <t>Morning</t>
        </is>
      </c>
      <c r="O130">
        <f>INDEX(Products_Catalog!$B$2:$B$151, MATCH(C130, Products_Catalog!$A$2:$A$151, 0))</f>
        <v/>
      </c>
      <c r="P130" s="13">
        <f>INDEX(Products_Catalog!$D$2:$D$151, MATCH(C130, Products_Catalog!$A$2:$A$151, 0))</f>
        <v/>
      </c>
      <c r="Q130" s="13">
        <f>I130-J130</f>
        <v/>
      </c>
      <c r="R130" s="15">
        <f>IF(K130&gt;20, "BREACH", "OK")</f>
        <v/>
      </c>
    </row>
    <row r="131">
      <c r="A131" t="inlineStr">
        <is>
          <t>ORD01047</t>
        </is>
      </c>
      <c r="B131" t="inlineStr">
        <is>
          <t>CUST0043</t>
        </is>
      </c>
      <c r="C131" t="inlineStr">
        <is>
          <t>PROD129</t>
        </is>
      </c>
      <c r="D131" t="inlineStr">
        <is>
          <t>STORE004</t>
        </is>
      </c>
      <c r="E131" t="inlineStr">
        <is>
          <t>DP017</t>
        </is>
      </c>
      <c r="F131" t="inlineStr">
        <is>
          <t>2024-11-13 15:23:00</t>
        </is>
      </c>
      <c r="G131" t="inlineStr">
        <is>
          <t>2024-11-13 15:49:00</t>
        </is>
      </c>
      <c r="H131" s="14" t="n">
        <v>9</v>
      </c>
      <c r="I131" s="13" t="n">
        <v>1398.42</v>
      </c>
      <c r="J131" s="13" t="n">
        <v>90.38</v>
      </c>
      <c r="K131" s="16" t="n">
        <v>26</v>
      </c>
      <c r="L131" t="inlineStr">
        <is>
          <t>Pending</t>
        </is>
      </c>
      <c r="M131" t="inlineStr">
        <is>
          <t>PAY03</t>
        </is>
      </c>
      <c r="N131" t="inlineStr">
        <is>
          <t>Afternoon</t>
        </is>
      </c>
      <c r="O131">
        <f>INDEX(Products_Catalog!$B$2:$B$151, MATCH(C131, Products_Catalog!$A$2:$A$151, 0))</f>
        <v/>
      </c>
      <c r="P131" s="13">
        <f>INDEX(Products_Catalog!$D$2:$D$151, MATCH(C131, Products_Catalog!$A$2:$A$151, 0))</f>
        <v/>
      </c>
      <c r="Q131" s="13">
        <f>I131-J131</f>
        <v/>
      </c>
      <c r="R131" s="15">
        <f>IF(K131&gt;20, "BREACH", "OK")</f>
        <v/>
      </c>
    </row>
    <row r="132">
      <c r="A132" t="inlineStr">
        <is>
          <t>ORD01049</t>
        </is>
      </c>
      <c r="B132" t="inlineStr">
        <is>
          <t>CUST0007</t>
        </is>
      </c>
      <c r="C132" t="inlineStr">
        <is>
          <t>PROD020</t>
        </is>
      </c>
      <c r="D132" t="inlineStr">
        <is>
          <t>STORE049</t>
        </is>
      </c>
      <c r="E132" t="inlineStr">
        <is>
          <t>DP009</t>
        </is>
      </c>
      <c r="F132" t="inlineStr">
        <is>
          <t>2025-01-05 11:43:00</t>
        </is>
      </c>
      <c r="G132" t="inlineStr">
        <is>
          <t>2025-01-05 12:11:00</t>
        </is>
      </c>
      <c r="H132" s="14" t="n">
        <v>6</v>
      </c>
      <c r="I132" s="13" t="n">
        <v>1059.42</v>
      </c>
      <c r="J132" s="13" t="n">
        <v>126.5</v>
      </c>
      <c r="K132" s="16" t="n">
        <v>28</v>
      </c>
      <c r="L132" t="inlineStr">
        <is>
          <t>Shipped</t>
        </is>
      </c>
      <c r="M132" t="inlineStr">
        <is>
          <t>PAY05</t>
        </is>
      </c>
      <c r="N132" t="inlineStr">
        <is>
          <t>Morning</t>
        </is>
      </c>
      <c r="O132">
        <f>INDEX(Products_Catalog!$B$2:$B$151, MATCH(C132, Products_Catalog!$A$2:$A$151, 0))</f>
        <v/>
      </c>
      <c r="P132" s="13">
        <f>INDEX(Products_Catalog!$D$2:$D$151, MATCH(C132, Products_Catalog!$A$2:$A$151, 0))</f>
        <v/>
      </c>
      <c r="Q132" s="13">
        <f>I132-J132</f>
        <v/>
      </c>
      <c r="R132" s="15">
        <f>IF(K132&gt;20, "BREACH", "OK")</f>
        <v/>
      </c>
    </row>
    <row r="133">
      <c r="A133" t="inlineStr">
        <is>
          <t>ORD01050</t>
        </is>
      </c>
      <c r="B133" t="inlineStr">
        <is>
          <t>CUST0037</t>
        </is>
      </c>
      <c r="C133" t="inlineStr">
        <is>
          <t>PROD037</t>
        </is>
      </c>
      <c r="D133" t="inlineStr">
        <is>
          <t>STORE039</t>
        </is>
      </c>
      <c r="E133" t="inlineStr">
        <is>
          <t>DP050</t>
        </is>
      </c>
      <c r="F133" t="inlineStr">
        <is>
          <t>2025-02-14 07:41:00</t>
        </is>
      </c>
      <c r="G133" t="inlineStr">
        <is>
          <t>2025-02-14 08:10:00</t>
        </is>
      </c>
      <c r="H133" s="14" t="n">
        <v>7</v>
      </c>
      <c r="I133" s="13" t="n">
        <v>1470.49</v>
      </c>
      <c r="J133" s="13" t="n">
        <v>210.29</v>
      </c>
      <c r="K133" s="16" t="n">
        <v>29</v>
      </c>
      <c r="L133" t="inlineStr">
        <is>
          <t>Cancelled</t>
        </is>
      </c>
      <c r="M133" t="inlineStr">
        <is>
          <t>PAY04</t>
        </is>
      </c>
      <c r="N133" t="inlineStr">
        <is>
          <t>Morning</t>
        </is>
      </c>
      <c r="O133">
        <f>INDEX(Products_Catalog!$B$2:$B$151, MATCH(C133, Products_Catalog!$A$2:$A$151, 0))</f>
        <v/>
      </c>
      <c r="P133" s="13">
        <f>INDEX(Products_Catalog!$D$2:$D$151, MATCH(C133, Products_Catalog!$A$2:$A$151, 0))</f>
        <v/>
      </c>
      <c r="Q133" s="13">
        <f>I133-J133</f>
        <v/>
      </c>
      <c r="R133" s="15">
        <f>IF(K133&gt;20, "BREACH", "OK")</f>
        <v/>
      </c>
    </row>
    <row r="134">
      <c r="A134" t="inlineStr">
        <is>
          <t>ORD01051</t>
        </is>
      </c>
      <c r="B134" t="inlineStr">
        <is>
          <t>CUST0019</t>
        </is>
      </c>
      <c r="C134" t="inlineStr">
        <is>
          <t>PROD069</t>
        </is>
      </c>
      <c r="D134" t="inlineStr">
        <is>
          <t>STORE009</t>
        </is>
      </c>
      <c r="E134" t="inlineStr">
        <is>
          <t>DP019</t>
        </is>
      </c>
      <c r="F134" t="inlineStr">
        <is>
          <t>2025-02-15 14:13:00</t>
        </is>
      </c>
      <c r="G134" t="inlineStr">
        <is>
          <t>2025-02-15 14:43:00</t>
        </is>
      </c>
      <c r="H134" s="14" t="n">
        <v>6</v>
      </c>
      <c r="I134" s="13" t="n">
        <v>1136.28</v>
      </c>
      <c r="J134" s="13" t="n">
        <v>118.7</v>
      </c>
      <c r="K134" s="16" t="n">
        <v>30</v>
      </c>
      <c r="L134" t="inlineStr">
        <is>
          <t>Cancelled</t>
        </is>
      </c>
      <c r="M134" t="inlineStr">
        <is>
          <t>PAY05</t>
        </is>
      </c>
      <c r="N134" t="inlineStr">
        <is>
          <t>Afternoon</t>
        </is>
      </c>
      <c r="O134">
        <f>INDEX(Products_Catalog!$B$2:$B$151, MATCH(C134, Products_Catalog!$A$2:$A$151, 0))</f>
        <v/>
      </c>
      <c r="P134" s="13">
        <f>INDEX(Products_Catalog!$D$2:$D$151, MATCH(C134, Products_Catalog!$A$2:$A$151, 0))</f>
        <v/>
      </c>
      <c r="Q134" s="13">
        <f>I134-J134</f>
        <v/>
      </c>
      <c r="R134" s="15">
        <f>IF(K134&gt;20, "BREACH", "OK")</f>
        <v/>
      </c>
    </row>
    <row r="135">
      <c r="A135" t="inlineStr">
        <is>
          <t>ORD01052</t>
        </is>
      </c>
      <c r="B135" t="inlineStr">
        <is>
          <t>CUST0002</t>
        </is>
      </c>
      <c r="C135" t="inlineStr">
        <is>
          <t>PROD043</t>
        </is>
      </c>
      <c r="D135" t="inlineStr">
        <is>
          <t>STORE027</t>
        </is>
      </c>
      <c r="E135" t="inlineStr">
        <is>
          <t>DP028</t>
        </is>
      </c>
      <c r="F135" t="inlineStr">
        <is>
          <t>2025-04-22 08:29:00</t>
        </is>
      </c>
      <c r="G135" t="inlineStr">
        <is>
          <t>2025-04-22 08:39:00</t>
        </is>
      </c>
      <c r="H135" s="14" t="n">
        <v>7</v>
      </c>
      <c r="I135" s="13" t="n">
        <v>1773.1</v>
      </c>
      <c r="J135" s="13" t="n">
        <v>507.05</v>
      </c>
      <c r="K135" s="16" t="n">
        <v>10</v>
      </c>
      <c r="L135" t="inlineStr">
        <is>
          <t>Cancelled</t>
        </is>
      </c>
      <c r="M135" t="inlineStr">
        <is>
          <t>PAY04</t>
        </is>
      </c>
      <c r="N135" t="inlineStr">
        <is>
          <t>Morning</t>
        </is>
      </c>
      <c r="O135">
        <f>INDEX(Products_Catalog!$B$2:$B$151, MATCH(C135, Products_Catalog!$A$2:$A$151, 0))</f>
        <v/>
      </c>
      <c r="P135" s="13">
        <f>INDEX(Products_Catalog!$D$2:$D$151, MATCH(C135, Products_Catalog!$A$2:$A$151, 0))</f>
        <v/>
      </c>
      <c r="Q135" s="13">
        <f>I135-J135</f>
        <v/>
      </c>
      <c r="R135" s="15">
        <f>IF(K135&gt;20, "BREACH", "OK")</f>
        <v/>
      </c>
    </row>
    <row r="136">
      <c r="A136" t="inlineStr">
        <is>
          <t>ORD01054</t>
        </is>
      </c>
      <c r="B136" t="inlineStr">
        <is>
          <t>CUST0049</t>
        </is>
      </c>
      <c r="C136" t="inlineStr">
        <is>
          <t>PROD099</t>
        </is>
      </c>
      <c r="D136" t="inlineStr">
        <is>
          <t>STORE018</t>
        </is>
      </c>
      <c r="E136" t="inlineStr">
        <is>
          <t>DP033</t>
        </is>
      </c>
      <c r="F136" t="inlineStr">
        <is>
          <t>2024-01-26 19:31:00</t>
        </is>
      </c>
      <c r="G136" t="inlineStr">
        <is>
          <t>2024-01-26 19:43:00</t>
        </is>
      </c>
      <c r="H136" s="14" t="n">
        <v>6</v>
      </c>
      <c r="I136" s="13" t="n">
        <v>2140.62</v>
      </c>
      <c r="J136" s="13" t="n">
        <v>354.9</v>
      </c>
      <c r="K136" s="16" t="n">
        <v>12</v>
      </c>
      <c r="L136" t="inlineStr">
        <is>
          <t>Delivered</t>
        </is>
      </c>
      <c r="M136" t="inlineStr">
        <is>
          <t>PAY04</t>
        </is>
      </c>
      <c r="N136" t="inlineStr">
        <is>
          <t>Evening</t>
        </is>
      </c>
      <c r="O136">
        <f>INDEX(Products_Catalog!$B$2:$B$151, MATCH(C136, Products_Catalog!$A$2:$A$151, 0))</f>
        <v/>
      </c>
      <c r="P136" s="13">
        <f>INDEX(Products_Catalog!$D$2:$D$151, MATCH(C136, Products_Catalog!$A$2:$A$151, 0))</f>
        <v/>
      </c>
      <c r="Q136" s="13">
        <f>I136-J136</f>
        <v/>
      </c>
      <c r="R136" s="15">
        <f>IF(K136&gt;20, "BREACH", "OK")</f>
        <v/>
      </c>
    </row>
    <row r="137">
      <c r="A137" t="inlineStr">
        <is>
          <t>ORD01055</t>
        </is>
      </c>
      <c r="B137" t="inlineStr">
        <is>
          <t>CUST0016</t>
        </is>
      </c>
      <c r="C137" t="inlineStr">
        <is>
          <t>PROD001</t>
        </is>
      </c>
      <c r="D137" t="inlineStr">
        <is>
          <t>STORE039</t>
        </is>
      </c>
      <c r="E137" t="inlineStr">
        <is>
          <t>DP004</t>
        </is>
      </c>
      <c r="F137" t="inlineStr">
        <is>
          <t>2024-03-02 12:45:00</t>
        </is>
      </c>
      <c r="G137" t="inlineStr">
        <is>
          <t>2024-03-02 12:58:00</t>
        </is>
      </c>
      <c r="H137" s="14" t="n">
        <v>9</v>
      </c>
      <c r="I137" s="13" t="n">
        <v>2300.49</v>
      </c>
      <c r="J137" s="13" t="n">
        <v>639.0599999999999</v>
      </c>
      <c r="K137" s="16" t="n">
        <v>13</v>
      </c>
      <c r="L137" t="inlineStr">
        <is>
          <t>Cancelled</t>
        </is>
      </c>
      <c r="M137" t="inlineStr">
        <is>
          <t>PAY03</t>
        </is>
      </c>
      <c r="N137" t="inlineStr">
        <is>
          <t>Afternoon</t>
        </is>
      </c>
      <c r="O137">
        <f>INDEX(Products_Catalog!$B$2:$B$151, MATCH(C137, Products_Catalog!$A$2:$A$151, 0))</f>
        <v/>
      </c>
      <c r="P137" s="13">
        <f>INDEX(Products_Catalog!$D$2:$D$151, MATCH(C137, Products_Catalog!$A$2:$A$151, 0))</f>
        <v/>
      </c>
      <c r="Q137" s="13">
        <f>I137-J137</f>
        <v/>
      </c>
      <c r="R137" s="15">
        <f>IF(K137&gt;20, "BREACH", "OK")</f>
        <v/>
      </c>
    </row>
    <row r="138">
      <c r="A138" t="inlineStr">
        <is>
          <t>ORD01056</t>
        </is>
      </c>
      <c r="B138" t="inlineStr">
        <is>
          <t>CUST0004</t>
        </is>
      </c>
      <c r="C138" t="inlineStr">
        <is>
          <t>PROD130</t>
        </is>
      </c>
      <c r="D138" t="inlineStr">
        <is>
          <t>STORE002</t>
        </is>
      </c>
      <c r="E138" t="inlineStr">
        <is>
          <t>DP034</t>
        </is>
      </c>
      <c r="F138" t="inlineStr">
        <is>
          <t>2024-07-30 09:26:00</t>
        </is>
      </c>
      <c r="G138" t="inlineStr">
        <is>
          <t>2024-07-30 09:40:00</t>
        </is>
      </c>
      <c r="H138" s="14" t="n">
        <v>3</v>
      </c>
      <c r="I138" s="13" t="n">
        <v>371.31</v>
      </c>
      <c r="J138" s="13" t="n">
        <v>77.45999999999999</v>
      </c>
      <c r="K138" s="16" t="n">
        <v>14</v>
      </c>
      <c r="L138" t="inlineStr">
        <is>
          <t>Pending</t>
        </is>
      </c>
      <c r="M138" t="inlineStr">
        <is>
          <t>PAY02</t>
        </is>
      </c>
      <c r="N138" t="inlineStr">
        <is>
          <t>Morning</t>
        </is>
      </c>
      <c r="O138">
        <f>INDEX(Products_Catalog!$B$2:$B$151, MATCH(C138, Products_Catalog!$A$2:$A$151, 0))</f>
        <v/>
      </c>
      <c r="P138" s="13">
        <f>INDEX(Products_Catalog!$D$2:$D$151, MATCH(C138, Products_Catalog!$A$2:$A$151, 0))</f>
        <v/>
      </c>
      <c r="Q138" s="13">
        <f>I138-J138</f>
        <v/>
      </c>
      <c r="R138" s="15">
        <f>IF(K138&gt;20, "BREACH", "OK")</f>
        <v/>
      </c>
    </row>
    <row r="139">
      <c r="A139" t="inlineStr">
        <is>
          <t>ORD01057</t>
        </is>
      </c>
      <c r="B139" t="inlineStr">
        <is>
          <t>CUST0037</t>
        </is>
      </c>
      <c r="C139" t="inlineStr">
        <is>
          <t>PROD101</t>
        </is>
      </c>
      <c r="D139" t="inlineStr">
        <is>
          <t>STORE016</t>
        </is>
      </c>
      <c r="E139" t="inlineStr">
        <is>
          <t>DP020</t>
        </is>
      </c>
      <c r="F139" t="inlineStr">
        <is>
          <t>2024-01-30 11:11:00</t>
        </is>
      </c>
      <c r="G139" t="inlineStr">
        <is>
          <t>2024-01-30 11:26:00</t>
        </is>
      </c>
      <c r="H139" s="14" t="n">
        <v>4</v>
      </c>
      <c r="I139" s="13" t="n">
        <v>498.24</v>
      </c>
      <c r="J139" s="13" t="n">
        <v>57.72</v>
      </c>
      <c r="K139" s="16" t="n">
        <v>15</v>
      </c>
      <c r="L139" t="inlineStr">
        <is>
          <t>Pending</t>
        </is>
      </c>
      <c r="M139" t="inlineStr">
        <is>
          <t>PAY01</t>
        </is>
      </c>
      <c r="N139" t="inlineStr">
        <is>
          <t>Morning</t>
        </is>
      </c>
      <c r="O139">
        <f>INDEX(Products_Catalog!$B$2:$B$151, MATCH(C139, Products_Catalog!$A$2:$A$151, 0))</f>
        <v/>
      </c>
      <c r="P139" s="13">
        <f>INDEX(Products_Catalog!$D$2:$D$151, MATCH(C139, Products_Catalog!$A$2:$A$151, 0))</f>
        <v/>
      </c>
      <c r="Q139" s="13">
        <f>I139-J139</f>
        <v/>
      </c>
      <c r="R139" s="15">
        <f>IF(K139&gt;20, "BREACH", "OK")</f>
        <v/>
      </c>
    </row>
    <row r="140">
      <c r="A140" t="inlineStr">
        <is>
          <t>ORD01058</t>
        </is>
      </c>
      <c r="B140" t="inlineStr">
        <is>
          <t>CUST0045</t>
        </is>
      </c>
      <c r="C140" t="inlineStr">
        <is>
          <t>PROD116</t>
        </is>
      </c>
      <c r="D140" t="inlineStr">
        <is>
          <t>STORE002</t>
        </is>
      </c>
      <c r="E140" t="inlineStr">
        <is>
          <t>DP030</t>
        </is>
      </c>
      <c r="F140" t="inlineStr">
        <is>
          <t>2024-04-28 10:16:00</t>
        </is>
      </c>
      <c r="G140" t="inlineStr">
        <is>
          <t>2024-04-28 10:32:00</t>
        </is>
      </c>
      <c r="H140" s="14" t="n">
        <v>7</v>
      </c>
      <c r="I140" s="13" t="n">
        <v>1852.06</v>
      </c>
      <c r="J140" s="13" t="n">
        <v>492.42</v>
      </c>
      <c r="K140" s="16" t="n">
        <v>16</v>
      </c>
      <c r="L140" t="inlineStr">
        <is>
          <t>Pending</t>
        </is>
      </c>
      <c r="M140" t="inlineStr">
        <is>
          <t>PAY02</t>
        </is>
      </c>
      <c r="N140" t="inlineStr">
        <is>
          <t>Morning</t>
        </is>
      </c>
      <c r="O140">
        <f>INDEX(Products_Catalog!$B$2:$B$151, MATCH(C140, Products_Catalog!$A$2:$A$151, 0))</f>
        <v/>
      </c>
      <c r="P140" s="13">
        <f>INDEX(Products_Catalog!$D$2:$D$151, MATCH(C140, Products_Catalog!$A$2:$A$151, 0))</f>
        <v/>
      </c>
      <c r="Q140" s="13">
        <f>I140-J140</f>
        <v/>
      </c>
      <c r="R140" s="15">
        <f>IF(K140&gt;20, "BREACH", "OK")</f>
        <v/>
      </c>
    </row>
    <row r="141">
      <c r="A141" t="inlineStr">
        <is>
          <t>ORD01059</t>
        </is>
      </c>
      <c r="B141" t="inlineStr">
        <is>
          <t>CUST0020</t>
        </is>
      </c>
      <c r="C141" t="inlineStr">
        <is>
          <t>PROD009</t>
        </is>
      </c>
      <c r="D141" t="inlineStr">
        <is>
          <t>STORE042</t>
        </is>
      </c>
      <c r="E141" t="inlineStr">
        <is>
          <t>DP006</t>
        </is>
      </c>
      <c r="F141" t="inlineStr">
        <is>
          <t>2024-09-09 15:35:00</t>
        </is>
      </c>
      <c r="G141" t="inlineStr">
        <is>
          <t>2024-09-09 15:52:00</t>
        </is>
      </c>
      <c r="H141" s="14" t="n">
        <v>1</v>
      </c>
      <c r="I141" s="13" t="n">
        <v>302.27</v>
      </c>
      <c r="J141" s="13" t="n">
        <v>30.82</v>
      </c>
      <c r="K141" s="16" t="n">
        <v>17</v>
      </c>
      <c r="L141" t="inlineStr">
        <is>
          <t>Cancelled</t>
        </is>
      </c>
      <c r="M141" t="inlineStr">
        <is>
          <t>PAY01</t>
        </is>
      </c>
      <c r="N141" t="inlineStr">
        <is>
          <t>Afternoon</t>
        </is>
      </c>
      <c r="O141">
        <f>INDEX(Products_Catalog!$B$2:$B$151, MATCH(C141, Products_Catalog!$A$2:$A$151, 0))</f>
        <v/>
      </c>
      <c r="P141" s="13">
        <f>INDEX(Products_Catalog!$D$2:$D$151, MATCH(C141, Products_Catalog!$A$2:$A$151, 0))</f>
        <v/>
      </c>
      <c r="Q141" s="13">
        <f>I141-J141</f>
        <v/>
      </c>
      <c r="R141" s="15">
        <f>IF(K141&gt;20, "BREACH", "OK")</f>
        <v/>
      </c>
    </row>
    <row r="142">
      <c r="A142" t="inlineStr">
        <is>
          <t>ORD01060</t>
        </is>
      </c>
      <c r="B142" t="inlineStr">
        <is>
          <t>CUST0016</t>
        </is>
      </c>
      <c r="C142" t="inlineStr">
        <is>
          <t>PROD084</t>
        </is>
      </c>
      <c r="D142" t="inlineStr">
        <is>
          <t>STORE042</t>
        </is>
      </c>
      <c r="E142" t="inlineStr">
        <is>
          <t>DP008</t>
        </is>
      </c>
      <c r="F142" t="inlineStr">
        <is>
          <t>2024-03-27 15:56:00</t>
        </is>
      </c>
      <c r="G142" t="inlineStr">
        <is>
          <t>2024-03-27 16:14:00</t>
        </is>
      </c>
      <c r="H142" s="14" t="n">
        <v>1</v>
      </c>
      <c r="I142" s="13" t="n">
        <v>189.29</v>
      </c>
      <c r="J142" s="13" t="n">
        <v>48.87</v>
      </c>
      <c r="K142" s="16" t="n">
        <v>18</v>
      </c>
      <c r="L142" t="inlineStr">
        <is>
          <t>Delivered</t>
        </is>
      </c>
      <c r="M142" t="inlineStr">
        <is>
          <t>PAY03</t>
        </is>
      </c>
      <c r="N142" t="inlineStr">
        <is>
          <t>Afternoon</t>
        </is>
      </c>
      <c r="O142">
        <f>INDEX(Products_Catalog!$B$2:$B$151, MATCH(C142, Products_Catalog!$A$2:$A$151, 0))</f>
        <v/>
      </c>
      <c r="P142" s="13">
        <f>INDEX(Products_Catalog!$D$2:$D$151, MATCH(C142, Products_Catalog!$A$2:$A$151, 0))</f>
        <v/>
      </c>
      <c r="Q142" s="13">
        <f>I142-J142</f>
        <v/>
      </c>
      <c r="R142" s="15">
        <f>IF(K142&gt;20, "BREACH", "OK")</f>
        <v/>
      </c>
    </row>
    <row r="143">
      <c r="A143" t="inlineStr">
        <is>
          <t>ORD01061</t>
        </is>
      </c>
      <c r="B143" t="inlineStr">
        <is>
          <t>CUST0039</t>
        </is>
      </c>
      <c r="C143" t="inlineStr">
        <is>
          <t>PROD023</t>
        </is>
      </c>
      <c r="D143" t="inlineStr">
        <is>
          <t>STORE026</t>
        </is>
      </c>
      <c r="E143" t="inlineStr">
        <is>
          <t>DP034</t>
        </is>
      </c>
      <c r="F143" t="inlineStr">
        <is>
          <t>2025-06-06 18:18:00</t>
        </is>
      </c>
      <c r="G143" t="inlineStr">
        <is>
          <t>2025-06-06 18:37:00</t>
        </is>
      </c>
      <c r="H143" s="14" t="n">
        <v>4</v>
      </c>
      <c r="I143" s="13" t="n">
        <v>605.6</v>
      </c>
      <c r="J143" s="13" t="n">
        <v>177.37</v>
      </c>
      <c r="K143" s="16" t="n">
        <v>19</v>
      </c>
      <c r="L143" t="inlineStr">
        <is>
          <t>Shipped</t>
        </is>
      </c>
      <c r="M143" t="inlineStr">
        <is>
          <t>PAY01</t>
        </is>
      </c>
      <c r="N143" t="inlineStr">
        <is>
          <t>Evening</t>
        </is>
      </c>
      <c r="O143">
        <f>INDEX(Products_Catalog!$B$2:$B$151, MATCH(C143, Products_Catalog!$A$2:$A$151, 0))</f>
        <v/>
      </c>
      <c r="P143" s="13">
        <f>INDEX(Products_Catalog!$D$2:$D$151, MATCH(C143, Products_Catalog!$A$2:$A$151, 0))</f>
        <v/>
      </c>
      <c r="Q143" s="13">
        <f>I143-J143</f>
        <v/>
      </c>
      <c r="R143" s="15">
        <f>IF(K143&gt;20, "BREACH", "OK")</f>
        <v/>
      </c>
    </row>
    <row r="144">
      <c r="A144" t="inlineStr">
        <is>
          <t>ORD01062</t>
        </is>
      </c>
      <c r="B144" t="inlineStr">
        <is>
          <t>CUST0013</t>
        </is>
      </c>
      <c r="C144" t="inlineStr">
        <is>
          <t>PROD025</t>
        </is>
      </c>
      <c r="D144" t="inlineStr">
        <is>
          <t>STORE004</t>
        </is>
      </c>
      <c r="E144" t="inlineStr">
        <is>
          <t>DP010</t>
        </is>
      </c>
      <c r="F144" t="inlineStr">
        <is>
          <t>2024-03-24 14:32:00</t>
        </is>
      </c>
      <c r="G144" t="inlineStr">
        <is>
          <t>2024-03-24 14:52:00</t>
        </is>
      </c>
      <c r="H144" s="14" t="n">
        <v>10</v>
      </c>
      <c r="I144" s="13" t="n">
        <v>3697.2</v>
      </c>
      <c r="J144" s="13" t="n">
        <v>772.66</v>
      </c>
      <c r="K144" s="16" t="n">
        <v>20</v>
      </c>
      <c r="L144" t="inlineStr">
        <is>
          <t>Returned</t>
        </is>
      </c>
      <c r="M144" t="inlineStr">
        <is>
          <t>PAY03</t>
        </is>
      </c>
      <c r="N144" t="inlineStr">
        <is>
          <t>Afternoon</t>
        </is>
      </c>
      <c r="O144">
        <f>INDEX(Products_Catalog!$B$2:$B$151, MATCH(C144, Products_Catalog!$A$2:$A$151, 0))</f>
        <v/>
      </c>
      <c r="P144" s="13">
        <f>INDEX(Products_Catalog!$D$2:$D$151, MATCH(C144, Products_Catalog!$A$2:$A$151, 0))</f>
        <v/>
      </c>
      <c r="Q144" s="13">
        <f>I144-J144</f>
        <v/>
      </c>
      <c r="R144" s="15">
        <f>IF(K144&gt;20, "BREACH", "OK")</f>
        <v/>
      </c>
    </row>
    <row r="145">
      <c r="A145" t="inlineStr">
        <is>
          <t>ORD01063</t>
        </is>
      </c>
      <c r="B145" t="inlineStr">
        <is>
          <t>CUST0025</t>
        </is>
      </c>
      <c r="C145" t="inlineStr">
        <is>
          <t>PROD085</t>
        </is>
      </c>
      <c r="D145" t="inlineStr">
        <is>
          <t>STORE040</t>
        </is>
      </c>
      <c r="E145" t="inlineStr">
        <is>
          <t>DP032</t>
        </is>
      </c>
      <c r="F145" t="inlineStr">
        <is>
          <t>2024-06-30 18:21:00</t>
        </is>
      </c>
      <c r="G145" t="inlineStr">
        <is>
          <t>2024-06-30 18:42:00</t>
        </is>
      </c>
      <c r="H145" s="14" t="n">
        <v>9</v>
      </c>
      <c r="I145" s="13" t="n">
        <v>1157.49</v>
      </c>
      <c r="J145" s="13" t="n">
        <v>2.74</v>
      </c>
      <c r="K145" s="16" t="n">
        <v>21</v>
      </c>
      <c r="L145" t="inlineStr">
        <is>
          <t>Returned</t>
        </is>
      </c>
      <c r="M145" t="inlineStr">
        <is>
          <t>PAY04</t>
        </is>
      </c>
      <c r="N145" t="inlineStr">
        <is>
          <t>Evening</t>
        </is>
      </c>
      <c r="O145">
        <f>INDEX(Products_Catalog!$B$2:$B$151, MATCH(C145, Products_Catalog!$A$2:$A$151, 0))</f>
        <v/>
      </c>
      <c r="P145" s="13">
        <f>INDEX(Products_Catalog!$D$2:$D$151, MATCH(C145, Products_Catalog!$A$2:$A$151, 0))</f>
        <v/>
      </c>
      <c r="Q145" s="13">
        <f>I145-J145</f>
        <v/>
      </c>
      <c r="R145" s="15">
        <f>IF(K145&gt;20, "BREACH", "OK")</f>
        <v/>
      </c>
    </row>
    <row r="146">
      <c r="A146" t="inlineStr">
        <is>
          <t>ORD01064</t>
        </is>
      </c>
      <c r="B146" t="inlineStr">
        <is>
          <t>CUST0023</t>
        </is>
      </c>
      <c r="C146" t="inlineStr">
        <is>
          <t>PROD082</t>
        </is>
      </c>
      <c r="D146" t="inlineStr">
        <is>
          <t>STORE031</t>
        </is>
      </c>
      <c r="E146" t="inlineStr">
        <is>
          <t>DP001</t>
        </is>
      </c>
      <c r="F146" t="inlineStr">
        <is>
          <t>2025-02-27 11:19:00</t>
        </is>
      </c>
      <c r="G146" t="inlineStr">
        <is>
          <t>2025-02-27 11:41:00</t>
        </is>
      </c>
      <c r="H146" s="14" t="n">
        <v>3</v>
      </c>
      <c r="I146" s="13" t="n">
        <v>353.61</v>
      </c>
      <c r="J146" s="13" t="n">
        <v>68.86</v>
      </c>
      <c r="K146" s="16" t="n">
        <v>22</v>
      </c>
      <c r="L146" t="inlineStr">
        <is>
          <t>Shipped</t>
        </is>
      </c>
      <c r="M146" t="inlineStr">
        <is>
          <t>PAY02</t>
        </is>
      </c>
      <c r="N146" t="inlineStr">
        <is>
          <t>Morning</t>
        </is>
      </c>
      <c r="O146">
        <f>INDEX(Products_Catalog!$B$2:$B$151, MATCH(C146, Products_Catalog!$A$2:$A$151, 0))</f>
        <v/>
      </c>
      <c r="P146" s="13">
        <f>INDEX(Products_Catalog!$D$2:$D$151, MATCH(C146, Products_Catalog!$A$2:$A$151, 0))</f>
        <v/>
      </c>
      <c r="Q146" s="13">
        <f>I146-J146</f>
        <v/>
      </c>
      <c r="R146" s="15">
        <f>IF(K146&gt;20, "BREACH", "OK")</f>
        <v/>
      </c>
    </row>
    <row r="147">
      <c r="A147" t="inlineStr">
        <is>
          <t>ORD01067</t>
        </is>
      </c>
      <c r="B147" t="inlineStr">
        <is>
          <t>CUST0023</t>
        </is>
      </c>
      <c r="C147" t="inlineStr">
        <is>
          <t>PROD024</t>
        </is>
      </c>
      <c r="D147" t="inlineStr">
        <is>
          <t>STORE036</t>
        </is>
      </c>
      <c r="E147" t="inlineStr">
        <is>
          <t>DP041</t>
        </is>
      </c>
      <c r="F147" t="inlineStr">
        <is>
          <t>2024-12-05 19:13:00</t>
        </is>
      </c>
      <c r="G147" t="inlineStr">
        <is>
          <t>2024-12-05 19:38:00</t>
        </is>
      </c>
      <c r="H147" s="14" t="n">
        <v>1</v>
      </c>
      <c r="I147" s="13" t="n">
        <v>234</v>
      </c>
      <c r="J147" s="13" t="n">
        <v>54.85</v>
      </c>
      <c r="K147" s="16" t="n">
        <v>25</v>
      </c>
      <c r="L147" t="inlineStr">
        <is>
          <t>Shipped</t>
        </is>
      </c>
      <c r="M147" t="inlineStr">
        <is>
          <t>PAY02</t>
        </is>
      </c>
      <c r="N147" t="inlineStr">
        <is>
          <t>Evening</t>
        </is>
      </c>
      <c r="O147">
        <f>INDEX(Products_Catalog!$B$2:$B$151, MATCH(C147, Products_Catalog!$A$2:$A$151, 0))</f>
        <v/>
      </c>
      <c r="P147" s="13">
        <f>INDEX(Products_Catalog!$D$2:$D$151, MATCH(C147, Products_Catalog!$A$2:$A$151, 0))</f>
        <v/>
      </c>
      <c r="Q147" s="13">
        <f>I147-J147</f>
        <v/>
      </c>
      <c r="R147" s="15">
        <f>IF(K147&gt;20, "BREACH", "OK")</f>
        <v/>
      </c>
    </row>
    <row r="148">
      <c r="A148" t="inlineStr">
        <is>
          <t>ORD01068</t>
        </is>
      </c>
      <c r="B148" t="inlineStr">
        <is>
          <t>CUST0038</t>
        </is>
      </c>
      <c r="C148" t="inlineStr">
        <is>
          <t>PROD049</t>
        </is>
      </c>
      <c r="D148" t="inlineStr">
        <is>
          <t>STORE016</t>
        </is>
      </c>
      <c r="E148" t="inlineStr">
        <is>
          <t>DP026</t>
        </is>
      </c>
      <c r="F148" t="inlineStr">
        <is>
          <t>2024-10-16 18:42:00</t>
        </is>
      </c>
      <c r="G148" t="inlineStr">
        <is>
          <t>2024-10-16 19:08:00</t>
        </is>
      </c>
      <c r="H148" s="14" t="n">
        <v>4</v>
      </c>
      <c r="I148" s="13" t="n">
        <v>782.52</v>
      </c>
      <c r="J148" s="13" t="n">
        <v>48.18</v>
      </c>
      <c r="K148" s="16" t="n">
        <v>26</v>
      </c>
      <c r="L148" t="inlineStr">
        <is>
          <t>Returned</t>
        </is>
      </c>
      <c r="M148" t="inlineStr">
        <is>
          <t>PAY04</t>
        </is>
      </c>
      <c r="N148" t="inlineStr">
        <is>
          <t>Evening</t>
        </is>
      </c>
      <c r="O148">
        <f>INDEX(Products_Catalog!$B$2:$B$151, MATCH(C148, Products_Catalog!$A$2:$A$151, 0))</f>
        <v/>
      </c>
      <c r="P148" s="13">
        <f>INDEX(Products_Catalog!$D$2:$D$151, MATCH(C148, Products_Catalog!$A$2:$A$151, 0))</f>
        <v/>
      </c>
      <c r="Q148" s="13">
        <f>I148-J148</f>
        <v/>
      </c>
      <c r="R148" s="15">
        <f>IF(K148&gt;20, "BREACH", "OK")</f>
        <v/>
      </c>
    </row>
    <row r="149">
      <c r="A149" t="inlineStr">
        <is>
          <t>ORD01069</t>
        </is>
      </c>
      <c r="B149" t="inlineStr">
        <is>
          <t>CUST0036</t>
        </is>
      </c>
      <c r="C149" t="inlineStr">
        <is>
          <t>PROD099</t>
        </is>
      </c>
      <c r="D149" t="inlineStr">
        <is>
          <t>STORE038</t>
        </is>
      </c>
      <c r="E149" t="inlineStr">
        <is>
          <t>DP024</t>
        </is>
      </c>
      <c r="F149" t="inlineStr">
        <is>
          <t>2025-01-20 17:50:00</t>
        </is>
      </c>
      <c r="G149" t="inlineStr">
        <is>
          <t>2025-01-20 18:17:00</t>
        </is>
      </c>
      <c r="H149" s="14" t="n">
        <v>8</v>
      </c>
      <c r="I149" s="13" t="n">
        <v>3710</v>
      </c>
      <c r="J149" s="13" t="n">
        <v>1072.06</v>
      </c>
      <c r="K149" s="16" t="n">
        <v>27</v>
      </c>
      <c r="L149" t="inlineStr">
        <is>
          <t>Pending</t>
        </is>
      </c>
      <c r="M149" t="inlineStr">
        <is>
          <t>PAY05</t>
        </is>
      </c>
      <c r="N149" t="inlineStr">
        <is>
          <t>Evening</t>
        </is>
      </c>
      <c r="O149">
        <f>INDEX(Products_Catalog!$B$2:$B$151, MATCH(C149, Products_Catalog!$A$2:$A$151, 0))</f>
        <v/>
      </c>
      <c r="P149" s="13">
        <f>INDEX(Products_Catalog!$D$2:$D$151, MATCH(C149, Products_Catalog!$A$2:$A$151, 0))</f>
        <v/>
      </c>
      <c r="Q149" s="13">
        <f>I149-J149</f>
        <v/>
      </c>
      <c r="R149" s="15">
        <f>IF(K149&gt;20, "BREACH", "OK")</f>
        <v/>
      </c>
    </row>
    <row r="150">
      <c r="A150" t="inlineStr">
        <is>
          <t>ORD01070</t>
        </is>
      </c>
      <c r="B150" t="inlineStr">
        <is>
          <t>CUST0037</t>
        </is>
      </c>
      <c r="C150" t="inlineStr">
        <is>
          <t>PROD017</t>
        </is>
      </c>
      <c r="D150" t="inlineStr">
        <is>
          <t>STORE046</t>
        </is>
      </c>
      <c r="E150" t="inlineStr">
        <is>
          <t>DP002</t>
        </is>
      </c>
      <c r="F150" t="inlineStr">
        <is>
          <t>2024-11-22 20:15:00</t>
        </is>
      </c>
      <c r="G150" t="inlineStr">
        <is>
          <t>2024-11-22 20:43:00</t>
        </is>
      </c>
      <c r="H150" s="14" t="n">
        <v>5</v>
      </c>
      <c r="I150" s="13" t="n">
        <v>1816.5</v>
      </c>
      <c r="J150" s="13" t="n">
        <v>479.97</v>
      </c>
      <c r="K150" s="16" t="n">
        <v>28</v>
      </c>
      <c r="L150" t="inlineStr">
        <is>
          <t>Delivered</t>
        </is>
      </c>
      <c r="M150" t="inlineStr">
        <is>
          <t>PAY03</t>
        </is>
      </c>
      <c r="N150" t="inlineStr">
        <is>
          <t>Evening</t>
        </is>
      </c>
      <c r="O150">
        <f>INDEX(Products_Catalog!$B$2:$B$151, MATCH(C150, Products_Catalog!$A$2:$A$151, 0))</f>
        <v/>
      </c>
      <c r="P150" s="13">
        <f>INDEX(Products_Catalog!$D$2:$D$151, MATCH(C150, Products_Catalog!$A$2:$A$151, 0))</f>
        <v/>
      </c>
      <c r="Q150" s="13">
        <f>I150-J150</f>
        <v/>
      </c>
      <c r="R150" s="15">
        <f>IF(K150&gt;20, "BREACH", "OK")</f>
        <v/>
      </c>
    </row>
    <row r="151">
      <c r="A151" t="inlineStr">
        <is>
          <t>ORD01071</t>
        </is>
      </c>
      <c r="B151" t="inlineStr">
        <is>
          <t>CUST0027</t>
        </is>
      </c>
      <c r="C151" t="inlineStr">
        <is>
          <t>PROD117</t>
        </is>
      </c>
      <c r="D151" t="inlineStr">
        <is>
          <t>STORE002</t>
        </is>
      </c>
      <c r="E151" t="inlineStr">
        <is>
          <t>DP015</t>
        </is>
      </c>
      <c r="F151" t="inlineStr">
        <is>
          <t>2025-03-12 20:16:00</t>
        </is>
      </c>
      <c r="G151" t="inlineStr">
        <is>
          <t>2025-03-12 20:45:00</t>
        </is>
      </c>
      <c r="H151" s="14" t="n">
        <v>9</v>
      </c>
      <c r="I151" s="13" t="n">
        <v>1968.03</v>
      </c>
      <c r="J151" s="13" t="n">
        <v>542.17</v>
      </c>
      <c r="K151" s="16" t="n">
        <v>29</v>
      </c>
      <c r="L151" t="inlineStr">
        <is>
          <t>Pending</t>
        </is>
      </c>
      <c r="M151" t="inlineStr">
        <is>
          <t>PAY02</t>
        </is>
      </c>
      <c r="N151" t="inlineStr">
        <is>
          <t>Evening</t>
        </is>
      </c>
      <c r="O151">
        <f>INDEX(Products_Catalog!$B$2:$B$151, MATCH(C151, Products_Catalog!$A$2:$A$151, 0))</f>
        <v/>
      </c>
      <c r="P151" s="13">
        <f>INDEX(Products_Catalog!$D$2:$D$151, MATCH(C151, Products_Catalog!$A$2:$A$151, 0))</f>
        <v/>
      </c>
      <c r="Q151" s="13">
        <f>I151-J151</f>
        <v/>
      </c>
      <c r="R151" s="15">
        <f>IF(K151&gt;20, "BREACH", "OK")</f>
        <v/>
      </c>
    </row>
    <row r="152">
      <c r="A152" t="inlineStr">
        <is>
          <t>ORD01072</t>
        </is>
      </c>
      <c r="B152" t="inlineStr">
        <is>
          <t>CUST0041</t>
        </is>
      </c>
      <c r="C152" t="inlineStr">
        <is>
          <t>PROD107</t>
        </is>
      </c>
      <c r="D152" t="inlineStr">
        <is>
          <t>STORE030</t>
        </is>
      </c>
      <c r="E152" t="inlineStr">
        <is>
          <t>DP011</t>
        </is>
      </c>
      <c r="F152" t="inlineStr">
        <is>
          <t>2024-07-30 17:49:00</t>
        </is>
      </c>
      <c r="G152" t="inlineStr">
        <is>
          <t>2024-07-30 18:19:00</t>
        </is>
      </c>
      <c r="H152" s="14" t="n">
        <v>3</v>
      </c>
      <c r="I152" s="13" t="n">
        <v>331.23</v>
      </c>
      <c r="J152" s="13" t="n">
        <v>21.15</v>
      </c>
      <c r="K152" s="16" t="n">
        <v>30</v>
      </c>
      <c r="L152" t="inlineStr">
        <is>
          <t>Returned</t>
        </is>
      </c>
      <c r="M152" t="inlineStr">
        <is>
          <t>PAY01</t>
        </is>
      </c>
      <c r="N152" t="inlineStr">
        <is>
          <t>Evening</t>
        </is>
      </c>
      <c r="O152">
        <f>INDEX(Products_Catalog!$B$2:$B$151, MATCH(C152, Products_Catalog!$A$2:$A$151, 0))</f>
        <v/>
      </c>
      <c r="P152" s="13">
        <f>INDEX(Products_Catalog!$D$2:$D$151, MATCH(C152, Products_Catalog!$A$2:$A$151, 0))</f>
        <v/>
      </c>
      <c r="Q152" s="13">
        <f>I152-J152</f>
        <v/>
      </c>
      <c r="R152" s="15">
        <f>IF(K152&gt;20, "BREACH", "OK")</f>
        <v/>
      </c>
    </row>
    <row r="153">
      <c r="A153" t="inlineStr">
        <is>
          <t>ORD01073</t>
        </is>
      </c>
      <c r="B153" t="inlineStr">
        <is>
          <t>CUST0038</t>
        </is>
      </c>
      <c r="C153" t="inlineStr">
        <is>
          <t>PROD035</t>
        </is>
      </c>
      <c r="D153" t="inlineStr">
        <is>
          <t>STORE049</t>
        </is>
      </c>
      <c r="E153" t="inlineStr">
        <is>
          <t>DP003</t>
        </is>
      </c>
      <c r="F153" t="inlineStr">
        <is>
          <t>2024-11-29 17:55:00</t>
        </is>
      </c>
      <c r="G153" t="inlineStr">
        <is>
          <t>2024-11-29 18:05:00</t>
        </is>
      </c>
      <c r="H153" s="14" t="n">
        <v>10</v>
      </c>
      <c r="I153" s="13" t="n">
        <v>2011.6</v>
      </c>
      <c r="J153" s="13" t="n">
        <v>202.47</v>
      </c>
      <c r="K153" s="16" t="n">
        <v>10</v>
      </c>
      <c r="L153" t="inlineStr">
        <is>
          <t>Pending</t>
        </is>
      </c>
      <c r="M153" t="inlineStr">
        <is>
          <t>PAY02</t>
        </is>
      </c>
      <c r="N153" t="inlineStr">
        <is>
          <t>Evening</t>
        </is>
      </c>
      <c r="O153">
        <f>INDEX(Products_Catalog!$B$2:$B$151, MATCH(C153, Products_Catalog!$A$2:$A$151, 0))</f>
        <v/>
      </c>
      <c r="P153" s="13">
        <f>INDEX(Products_Catalog!$D$2:$D$151, MATCH(C153, Products_Catalog!$A$2:$A$151, 0))</f>
        <v/>
      </c>
      <c r="Q153" s="13">
        <f>I153-J153</f>
        <v/>
      </c>
      <c r="R153" s="15">
        <f>IF(K153&gt;20, "BREACH", "OK")</f>
        <v/>
      </c>
    </row>
    <row r="154">
      <c r="A154" t="inlineStr">
        <is>
          <t>ORD01075</t>
        </is>
      </c>
      <c r="B154" t="inlineStr">
        <is>
          <t>CUST0025</t>
        </is>
      </c>
      <c r="C154" t="inlineStr">
        <is>
          <t>PROD004</t>
        </is>
      </c>
      <c r="D154" t="inlineStr">
        <is>
          <t>STORE026</t>
        </is>
      </c>
      <c r="E154" t="inlineStr">
        <is>
          <t>DP024</t>
        </is>
      </c>
      <c r="F154" t="inlineStr">
        <is>
          <t>2024-01-15 15:47:00</t>
        </is>
      </c>
      <c r="G154" t="inlineStr">
        <is>
          <t>2024-01-15 15:59:00</t>
        </is>
      </c>
      <c r="H154" s="14" t="n">
        <v>7</v>
      </c>
      <c r="I154" s="13" t="n">
        <v>2285.01</v>
      </c>
      <c r="J154" s="13" t="n">
        <v>102.89</v>
      </c>
      <c r="K154" s="16" t="n">
        <v>12</v>
      </c>
      <c r="L154" t="inlineStr">
        <is>
          <t>Returned</t>
        </is>
      </c>
      <c r="M154" t="inlineStr">
        <is>
          <t>PAY04</t>
        </is>
      </c>
      <c r="N154" t="inlineStr">
        <is>
          <t>Afternoon</t>
        </is>
      </c>
      <c r="O154">
        <f>INDEX(Products_Catalog!$B$2:$B$151, MATCH(C154, Products_Catalog!$A$2:$A$151, 0))</f>
        <v/>
      </c>
      <c r="P154" s="13">
        <f>INDEX(Products_Catalog!$D$2:$D$151, MATCH(C154, Products_Catalog!$A$2:$A$151, 0))</f>
        <v/>
      </c>
      <c r="Q154" s="13">
        <f>I154-J154</f>
        <v/>
      </c>
      <c r="R154" s="15">
        <f>IF(K154&gt;20, "BREACH", "OK")</f>
        <v/>
      </c>
    </row>
    <row r="155">
      <c r="A155" t="inlineStr">
        <is>
          <t>ORD01077</t>
        </is>
      </c>
      <c r="B155" t="inlineStr">
        <is>
          <t>CUST0001</t>
        </is>
      </c>
      <c r="C155" t="inlineStr">
        <is>
          <t>PROD047</t>
        </is>
      </c>
      <c r="D155" t="inlineStr">
        <is>
          <t>STORE025</t>
        </is>
      </c>
      <c r="E155" t="inlineStr">
        <is>
          <t>DP016</t>
        </is>
      </c>
      <c r="F155" t="inlineStr">
        <is>
          <t>2024-09-04 08:44:00</t>
        </is>
      </c>
      <c r="G155" t="inlineStr">
        <is>
          <t>2024-09-04 08:58:00</t>
        </is>
      </c>
      <c r="H155" s="14" t="n">
        <v>1</v>
      </c>
      <c r="I155" s="13" t="n">
        <v>407.44</v>
      </c>
      <c r="J155" s="13" t="n">
        <v>64.89</v>
      </c>
      <c r="K155" s="16" t="n">
        <v>14</v>
      </c>
      <c r="L155" t="inlineStr">
        <is>
          <t>Pending</t>
        </is>
      </c>
      <c r="M155" t="inlineStr">
        <is>
          <t>PAY04</t>
        </is>
      </c>
      <c r="N155" t="inlineStr">
        <is>
          <t>Morning</t>
        </is>
      </c>
      <c r="O155">
        <f>INDEX(Products_Catalog!$B$2:$B$151, MATCH(C155, Products_Catalog!$A$2:$A$151, 0))</f>
        <v/>
      </c>
      <c r="P155" s="13">
        <f>INDEX(Products_Catalog!$D$2:$D$151, MATCH(C155, Products_Catalog!$A$2:$A$151, 0))</f>
        <v/>
      </c>
      <c r="Q155" s="13">
        <f>I155-J155</f>
        <v/>
      </c>
      <c r="R155" s="15">
        <f>IF(K155&gt;20, "BREACH", "OK")</f>
        <v/>
      </c>
    </row>
    <row r="156">
      <c r="A156" t="inlineStr">
        <is>
          <t>ORD01078</t>
        </is>
      </c>
      <c r="B156" t="inlineStr">
        <is>
          <t>CUST0011</t>
        </is>
      </c>
      <c r="C156" t="inlineStr">
        <is>
          <t>PROD100</t>
        </is>
      </c>
      <c r="D156" t="inlineStr">
        <is>
          <t>STORE027</t>
        </is>
      </c>
      <c r="E156" t="inlineStr">
        <is>
          <t>DP017</t>
        </is>
      </c>
      <c r="F156" t="inlineStr">
        <is>
          <t>2024-04-07 10:31:00</t>
        </is>
      </c>
      <c r="G156" t="inlineStr">
        <is>
          <t>2024-04-07 10:46:00</t>
        </is>
      </c>
      <c r="H156" s="14" t="n">
        <v>5</v>
      </c>
      <c r="I156" s="13" t="n">
        <v>1779.1</v>
      </c>
      <c r="J156" s="13" t="n">
        <v>254.5</v>
      </c>
      <c r="K156" s="16" t="n">
        <v>15</v>
      </c>
      <c r="L156" t="inlineStr">
        <is>
          <t>Delivered</t>
        </is>
      </c>
      <c r="M156" t="inlineStr">
        <is>
          <t>PAY04</t>
        </is>
      </c>
      <c r="N156" t="inlineStr">
        <is>
          <t>Morning</t>
        </is>
      </c>
      <c r="O156">
        <f>INDEX(Products_Catalog!$B$2:$B$151, MATCH(C156, Products_Catalog!$A$2:$A$151, 0))</f>
        <v/>
      </c>
      <c r="P156" s="13">
        <f>INDEX(Products_Catalog!$D$2:$D$151, MATCH(C156, Products_Catalog!$A$2:$A$151, 0))</f>
        <v/>
      </c>
      <c r="Q156" s="13">
        <f>I156-J156</f>
        <v/>
      </c>
      <c r="R156" s="15">
        <f>IF(K156&gt;20, "BREACH", "OK")</f>
        <v/>
      </c>
    </row>
    <row r="157">
      <c r="A157" t="inlineStr">
        <is>
          <t>ORD01079</t>
        </is>
      </c>
      <c r="B157" t="inlineStr">
        <is>
          <t>CUST0040</t>
        </is>
      </c>
      <c r="C157" t="inlineStr">
        <is>
          <t>PROD059</t>
        </is>
      </c>
      <c r="D157" t="inlineStr">
        <is>
          <t>STORE041</t>
        </is>
      </c>
      <c r="E157" t="inlineStr">
        <is>
          <t>DP015</t>
        </is>
      </c>
      <c r="F157" t="inlineStr">
        <is>
          <t>2024-01-23 19:37:00</t>
        </is>
      </c>
      <c r="G157" t="inlineStr">
        <is>
          <t>2024-01-23 19:53:00</t>
        </is>
      </c>
      <c r="H157" s="14" t="n">
        <v>10</v>
      </c>
      <c r="I157" s="13" t="n">
        <v>1838.9</v>
      </c>
      <c r="J157" s="13" t="n">
        <v>122.38</v>
      </c>
      <c r="K157" s="16" t="n">
        <v>16</v>
      </c>
      <c r="L157" t="inlineStr">
        <is>
          <t>Shipped</t>
        </is>
      </c>
      <c r="M157" t="inlineStr">
        <is>
          <t>PAY04</t>
        </is>
      </c>
      <c r="N157" t="inlineStr">
        <is>
          <t>Evening</t>
        </is>
      </c>
      <c r="O157">
        <f>INDEX(Products_Catalog!$B$2:$B$151, MATCH(C157, Products_Catalog!$A$2:$A$151, 0))</f>
        <v/>
      </c>
      <c r="P157" s="13">
        <f>INDEX(Products_Catalog!$D$2:$D$151, MATCH(C157, Products_Catalog!$A$2:$A$151, 0))</f>
        <v/>
      </c>
      <c r="Q157" s="13">
        <f>I157-J157</f>
        <v/>
      </c>
      <c r="R157" s="15">
        <f>IF(K157&gt;20, "BREACH", "OK")</f>
        <v/>
      </c>
    </row>
    <row r="158">
      <c r="A158" t="inlineStr">
        <is>
          <t>ORD01080</t>
        </is>
      </c>
      <c r="B158" t="inlineStr">
        <is>
          <t>CUST0011</t>
        </is>
      </c>
      <c r="C158" t="inlineStr">
        <is>
          <t>PROD067</t>
        </is>
      </c>
      <c r="D158" t="inlineStr">
        <is>
          <t>STORE028</t>
        </is>
      </c>
      <c r="E158" t="inlineStr">
        <is>
          <t>DP046</t>
        </is>
      </c>
      <c r="F158" t="inlineStr">
        <is>
          <t>2025-04-19 14:15:00</t>
        </is>
      </c>
      <c r="G158" t="inlineStr">
        <is>
          <t>2025-04-19 14:32:00</t>
        </is>
      </c>
      <c r="H158" s="14" t="n">
        <v>5</v>
      </c>
      <c r="I158" s="13" t="n">
        <v>349.05</v>
      </c>
      <c r="J158" s="13" t="n">
        <v>69.45999999999999</v>
      </c>
      <c r="K158" s="16" t="n">
        <v>17</v>
      </c>
      <c r="L158" t="inlineStr">
        <is>
          <t>Cancelled</t>
        </is>
      </c>
      <c r="M158" t="inlineStr">
        <is>
          <t>PAY01</t>
        </is>
      </c>
      <c r="N158" t="inlineStr">
        <is>
          <t>Afternoon</t>
        </is>
      </c>
      <c r="O158">
        <f>INDEX(Products_Catalog!$B$2:$B$151, MATCH(C158, Products_Catalog!$A$2:$A$151, 0))</f>
        <v/>
      </c>
      <c r="P158" s="13">
        <f>INDEX(Products_Catalog!$D$2:$D$151, MATCH(C158, Products_Catalog!$A$2:$A$151, 0))</f>
        <v/>
      </c>
      <c r="Q158" s="13">
        <f>I158-J158</f>
        <v/>
      </c>
      <c r="R158" s="15">
        <f>IF(K158&gt;20, "BREACH", "OK")</f>
        <v/>
      </c>
    </row>
    <row r="159">
      <c r="A159" t="inlineStr">
        <is>
          <t>ORD01081</t>
        </is>
      </c>
      <c r="B159" t="inlineStr">
        <is>
          <t>CUST0017</t>
        </is>
      </c>
      <c r="C159" t="inlineStr">
        <is>
          <t>PROD017</t>
        </is>
      </c>
      <c r="D159" t="inlineStr">
        <is>
          <t>STORE009</t>
        </is>
      </c>
      <c r="E159" t="inlineStr">
        <is>
          <t>DP024</t>
        </is>
      </c>
      <c r="F159" t="inlineStr">
        <is>
          <t>2024-11-10 08:40:00</t>
        </is>
      </c>
      <c r="G159" t="inlineStr">
        <is>
          <t>2024-11-10 08:58:00</t>
        </is>
      </c>
      <c r="H159" s="14" t="n">
        <v>8</v>
      </c>
      <c r="I159" s="13" t="n">
        <v>1539.92</v>
      </c>
      <c r="J159" s="13" t="n">
        <v>40.32</v>
      </c>
      <c r="K159" s="16" t="n">
        <v>18</v>
      </c>
      <c r="L159" t="inlineStr">
        <is>
          <t>Pending</t>
        </is>
      </c>
      <c r="M159" t="inlineStr">
        <is>
          <t>PAY02</t>
        </is>
      </c>
      <c r="N159" t="inlineStr">
        <is>
          <t>Morning</t>
        </is>
      </c>
      <c r="O159">
        <f>INDEX(Products_Catalog!$B$2:$B$151, MATCH(C159, Products_Catalog!$A$2:$A$151, 0))</f>
        <v/>
      </c>
      <c r="P159" s="13">
        <f>INDEX(Products_Catalog!$D$2:$D$151, MATCH(C159, Products_Catalog!$A$2:$A$151, 0))</f>
        <v/>
      </c>
      <c r="Q159" s="13">
        <f>I159-J159</f>
        <v/>
      </c>
      <c r="R159" s="15">
        <f>IF(K159&gt;20, "BREACH", "OK")</f>
        <v/>
      </c>
    </row>
    <row r="160">
      <c r="A160" t="inlineStr">
        <is>
          <t>ORD01082</t>
        </is>
      </c>
      <c r="B160" t="inlineStr">
        <is>
          <t>CUST0024</t>
        </is>
      </c>
      <c r="C160" t="inlineStr">
        <is>
          <t>PROD002</t>
        </is>
      </c>
      <c r="D160" t="inlineStr">
        <is>
          <t>STORE005</t>
        </is>
      </c>
      <c r="E160" t="inlineStr">
        <is>
          <t>DP033</t>
        </is>
      </c>
      <c r="F160" t="inlineStr">
        <is>
          <t>2025-06-23 15:53:00</t>
        </is>
      </c>
      <c r="G160" t="inlineStr">
        <is>
          <t>2025-06-23 16:12:00</t>
        </is>
      </c>
      <c r="H160" s="14" t="n">
        <v>9</v>
      </c>
      <c r="I160" s="13" t="n">
        <v>3445.47</v>
      </c>
      <c r="J160" s="13" t="n">
        <v>1022.58</v>
      </c>
      <c r="K160" s="16" t="n">
        <v>19</v>
      </c>
      <c r="L160" t="inlineStr">
        <is>
          <t>Shipped</t>
        </is>
      </c>
      <c r="M160" t="inlineStr">
        <is>
          <t>PAY04</t>
        </is>
      </c>
      <c r="N160" t="inlineStr">
        <is>
          <t>Afternoon</t>
        </is>
      </c>
      <c r="O160">
        <f>INDEX(Products_Catalog!$B$2:$B$151, MATCH(C160, Products_Catalog!$A$2:$A$151, 0))</f>
        <v/>
      </c>
      <c r="P160" s="13">
        <f>INDEX(Products_Catalog!$D$2:$D$151, MATCH(C160, Products_Catalog!$A$2:$A$151, 0))</f>
        <v/>
      </c>
      <c r="Q160" s="13">
        <f>I160-J160</f>
        <v/>
      </c>
      <c r="R160" s="15">
        <f>IF(K160&gt;20, "BREACH", "OK")</f>
        <v/>
      </c>
    </row>
    <row r="161">
      <c r="A161" t="inlineStr">
        <is>
          <t>ORD01083</t>
        </is>
      </c>
      <c r="B161" t="inlineStr">
        <is>
          <t>CUST0026</t>
        </is>
      </c>
      <c r="C161" t="inlineStr">
        <is>
          <t>PROD072</t>
        </is>
      </c>
      <c r="D161" t="inlineStr">
        <is>
          <t>STORE049</t>
        </is>
      </c>
      <c r="E161" t="inlineStr">
        <is>
          <t>DP036</t>
        </is>
      </c>
      <c r="F161" t="inlineStr">
        <is>
          <t>2025-03-06 09:54:00</t>
        </is>
      </c>
      <c r="G161" t="inlineStr">
        <is>
          <t>2025-03-06 10:14:00</t>
        </is>
      </c>
      <c r="H161" s="14" t="n">
        <v>8</v>
      </c>
      <c r="I161" s="13" t="n">
        <v>3616.32</v>
      </c>
      <c r="J161" s="13" t="n">
        <v>140.81</v>
      </c>
      <c r="K161" s="16" t="n">
        <v>20</v>
      </c>
      <c r="L161" t="inlineStr">
        <is>
          <t>Pending</t>
        </is>
      </c>
      <c r="M161" t="inlineStr">
        <is>
          <t>PAY02</t>
        </is>
      </c>
      <c r="N161" t="inlineStr">
        <is>
          <t>Morning</t>
        </is>
      </c>
      <c r="O161">
        <f>INDEX(Products_Catalog!$B$2:$B$151, MATCH(C161, Products_Catalog!$A$2:$A$151, 0))</f>
        <v/>
      </c>
      <c r="P161" s="13">
        <f>INDEX(Products_Catalog!$D$2:$D$151, MATCH(C161, Products_Catalog!$A$2:$A$151, 0))</f>
        <v/>
      </c>
      <c r="Q161" s="13">
        <f>I161-J161</f>
        <v/>
      </c>
      <c r="R161" s="15">
        <f>IF(K161&gt;20, "BREACH", "OK")</f>
        <v/>
      </c>
    </row>
    <row r="162">
      <c r="A162" t="inlineStr">
        <is>
          <t>ORD01084</t>
        </is>
      </c>
      <c r="B162" t="inlineStr">
        <is>
          <t>CUST0035</t>
        </is>
      </c>
      <c r="C162" t="inlineStr">
        <is>
          <t>PROD015</t>
        </is>
      </c>
      <c r="D162" t="inlineStr">
        <is>
          <t>STORE016</t>
        </is>
      </c>
      <c r="E162" t="inlineStr">
        <is>
          <t>DP037</t>
        </is>
      </c>
      <c r="F162" t="inlineStr">
        <is>
          <t>2024-11-17 09:09:00</t>
        </is>
      </c>
      <c r="G162" t="inlineStr">
        <is>
          <t>2024-11-17 09:30:00</t>
        </is>
      </c>
      <c r="H162" s="14" t="n">
        <v>6</v>
      </c>
      <c r="I162" s="13" t="n">
        <v>1917.96</v>
      </c>
      <c r="J162" s="13" t="n">
        <v>419.33</v>
      </c>
      <c r="K162" s="16" t="n">
        <v>21</v>
      </c>
      <c r="L162" t="inlineStr">
        <is>
          <t>Cancelled</t>
        </is>
      </c>
      <c r="M162" t="inlineStr">
        <is>
          <t>PAY03</t>
        </is>
      </c>
      <c r="N162" t="inlineStr">
        <is>
          <t>Morning</t>
        </is>
      </c>
      <c r="O162">
        <f>INDEX(Products_Catalog!$B$2:$B$151, MATCH(C162, Products_Catalog!$A$2:$A$151, 0))</f>
        <v/>
      </c>
      <c r="P162" s="13">
        <f>INDEX(Products_Catalog!$D$2:$D$151, MATCH(C162, Products_Catalog!$A$2:$A$151, 0))</f>
        <v/>
      </c>
      <c r="Q162" s="13">
        <f>I162-J162</f>
        <v/>
      </c>
      <c r="R162" s="15">
        <f>IF(K162&gt;20, "BREACH", "OK")</f>
        <v/>
      </c>
    </row>
    <row r="163">
      <c r="A163" t="inlineStr">
        <is>
          <t>ORD01085</t>
        </is>
      </c>
      <c r="B163" t="inlineStr">
        <is>
          <t>CUST0037</t>
        </is>
      </c>
      <c r="C163" t="inlineStr">
        <is>
          <t>PROD037</t>
        </is>
      </c>
      <c r="D163" t="inlineStr">
        <is>
          <t>STORE031</t>
        </is>
      </c>
      <c r="E163" t="inlineStr">
        <is>
          <t>DP036</t>
        </is>
      </c>
      <c r="F163" t="inlineStr">
        <is>
          <t>2024-03-05 19:48:00</t>
        </is>
      </c>
      <c r="G163" t="inlineStr">
        <is>
          <t>2024-03-05 20:10:00</t>
        </is>
      </c>
      <c r="H163" s="14" t="n">
        <v>8</v>
      </c>
      <c r="I163" s="13" t="n">
        <v>2941.92</v>
      </c>
      <c r="J163" s="13" t="n">
        <v>291.12</v>
      </c>
      <c r="K163" s="16" t="n">
        <v>22</v>
      </c>
      <c r="L163" t="inlineStr">
        <is>
          <t>Cancelled</t>
        </is>
      </c>
      <c r="M163" t="inlineStr">
        <is>
          <t>PAY02</t>
        </is>
      </c>
      <c r="N163" t="inlineStr">
        <is>
          <t>Evening</t>
        </is>
      </c>
      <c r="O163">
        <f>INDEX(Products_Catalog!$B$2:$B$151, MATCH(C163, Products_Catalog!$A$2:$A$151, 0))</f>
        <v/>
      </c>
      <c r="P163" s="13">
        <f>INDEX(Products_Catalog!$D$2:$D$151, MATCH(C163, Products_Catalog!$A$2:$A$151, 0))</f>
        <v/>
      </c>
      <c r="Q163" s="13">
        <f>I163-J163</f>
        <v/>
      </c>
      <c r="R163" s="15">
        <f>IF(K163&gt;20, "BREACH", "OK")</f>
        <v/>
      </c>
    </row>
    <row r="164">
      <c r="A164" t="inlineStr">
        <is>
          <t>ORD01086</t>
        </is>
      </c>
      <c r="B164" t="inlineStr">
        <is>
          <t>CUST0023</t>
        </is>
      </c>
      <c r="C164" t="inlineStr">
        <is>
          <t>PROD129</t>
        </is>
      </c>
      <c r="D164" t="inlineStr">
        <is>
          <t>STORE008</t>
        </is>
      </c>
      <c r="E164" t="inlineStr">
        <is>
          <t>DP001</t>
        </is>
      </c>
      <c r="F164" t="inlineStr">
        <is>
          <t>2024-03-16 17:38:00</t>
        </is>
      </c>
      <c r="G164" t="inlineStr">
        <is>
          <t>2024-03-16 18:01:00</t>
        </is>
      </c>
      <c r="H164" s="14" t="n">
        <v>1</v>
      </c>
      <c r="I164" s="13" t="n">
        <v>362.6</v>
      </c>
      <c r="J164" s="13" t="n">
        <v>15.51</v>
      </c>
      <c r="K164" s="16" t="n">
        <v>23</v>
      </c>
      <c r="L164" t="inlineStr">
        <is>
          <t>Pending</t>
        </is>
      </c>
      <c r="M164" t="inlineStr">
        <is>
          <t>PAY02</t>
        </is>
      </c>
      <c r="N164" t="inlineStr">
        <is>
          <t>Evening</t>
        </is>
      </c>
      <c r="O164">
        <f>INDEX(Products_Catalog!$B$2:$B$151, MATCH(C164, Products_Catalog!$A$2:$A$151, 0))</f>
        <v/>
      </c>
      <c r="P164" s="13">
        <f>INDEX(Products_Catalog!$D$2:$D$151, MATCH(C164, Products_Catalog!$A$2:$A$151, 0))</f>
        <v/>
      </c>
      <c r="Q164" s="13">
        <f>I164-J164</f>
        <v/>
      </c>
      <c r="R164" s="15">
        <f>IF(K164&gt;20, "BREACH", "OK")</f>
        <v/>
      </c>
    </row>
    <row r="165">
      <c r="A165" t="inlineStr">
        <is>
          <t>ORD01087</t>
        </is>
      </c>
      <c r="B165" t="inlineStr">
        <is>
          <t>CUST0042</t>
        </is>
      </c>
      <c r="C165" t="inlineStr">
        <is>
          <t>PROD074</t>
        </is>
      </c>
      <c r="D165" t="inlineStr">
        <is>
          <t>STORE033</t>
        </is>
      </c>
      <c r="E165" t="inlineStr">
        <is>
          <t>DP013</t>
        </is>
      </c>
      <c r="F165" t="inlineStr">
        <is>
          <t>2024-07-11 20:19:00</t>
        </is>
      </c>
      <c r="G165" t="inlineStr">
        <is>
          <t>2024-07-11 20:43:00</t>
        </is>
      </c>
      <c r="H165" s="14" t="n">
        <v>3</v>
      </c>
      <c r="I165" s="13" t="n">
        <v>239.52</v>
      </c>
      <c r="J165" s="13" t="n">
        <v>10.13</v>
      </c>
      <c r="K165" s="16" t="n">
        <v>24</v>
      </c>
      <c r="L165" t="inlineStr">
        <is>
          <t>Shipped</t>
        </is>
      </c>
      <c r="M165" t="inlineStr">
        <is>
          <t>PAY04</t>
        </is>
      </c>
      <c r="N165" t="inlineStr">
        <is>
          <t>Evening</t>
        </is>
      </c>
      <c r="O165">
        <f>INDEX(Products_Catalog!$B$2:$B$151, MATCH(C165, Products_Catalog!$A$2:$A$151, 0))</f>
        <v/>
      </c>
      <c r="P165" s="13">
        <f>INDEX(Products_Catalog!$D$2:$D$151, MATCH(C165, Products_Catalog!$A$2:$A$151, 0))</f>
        <v/>
      </c>
      <c r="Q165" s="13">
        <f>I165-J165</f>
        <v/>
      </c>
      <c r="R165" s="15">
        <f>IF(K165&gt;20, "BREACH", "OK")</f>
        <v/>
      </c>
    </row>
    <row r="166">
      <c r="A166" t="inlineStr">
        <is>
          <t>ORD01088</t>
        </is>
      </c>
      <c r="B166" t="inlineStr">
        <is>
          <t>CUST0035</t>
        </is>
      </c>
      <c r="C166" t="inlineStr">
        <is>
          <t>PROD065</t>
        </is>
      </c>
      <c r="D166" t="inlineStr">
        <is>
          <t>STORE017</t>
        </is>
      </c>
      <c r="E166" t="inlineStr">
        <is>
          <t>DP042</t>
        </is>
      </c>
      <c r="F166" t="inlineStr">
        <is>
          <t>2024-06-26 10:35:00</t>
        </is>
      </c>
      <c r="G166" t="inlineStr">
        <is>
          <t>2024-06-26 11:00:00</t>
        </is>
      </c>
      <c r="H166" s="14" t="n">
        <v>6</v>
      </c>
      <c r="I166" s="13" t="n">
        <v>2715.18</v>
      </c>
      <c r="J166" s="13" t="n">
        <v>672.36</v>
      </c>
      <c r="K166" s="16" t="n">
        <v>25</v>
      </c>
      <c r="L166" t="inlineStr">
        <is>
          <t>Pending</t>
        </is>
      </c>
      <c r="M166" t="inlineStr">
        <is>
          <t>PAY05</t>
        </is>
      </c>
      <c r="N166" t="inlineStr">
        <is>
          <t>Morning</t>
        </is>
      </c>
      <c r="O166">
        <f>INDEX(Products_Catalog!$B$2:$B$151, MATCH(C166, Products_Catalog!$A$2:$A$151, 0))</f>
        <v/>
      </c>
      <c r="P166" s="13">
        <f>INDEX(Products_Catalog!$D$2:$D$151, MATCH(C166, Products_Catalog!$A$2:$A$151, 0))</f>
        <v/>
      </c>
      <c r="Q166" s="13">
        <f>I166-J166</f>
        <v/>
      </c>
      <c r="R166" s="15">
        <f>IF(K166&gt;20, "BREACH", "OK")</f>
        <v/>
      </c>
    </row>
    <row r="167">
      <c r="A167" t="inlineStr">
        <is>
          <t>ORD01090</t>
        </is>
      </c>
      <c r="B167" t="inlineStr">
        <is>
          <t>CUST0047</t>
        </is>
      </c>
      <c r="C167" t="inlineStr">
        <is>
          <t>PROD040</t>
        </is>
      </c>
      <c r="D167" t="inlineStr">
        <is>
          <t>STORE005</t>
        </is>
      </c>
      <c r="E167" t="inlineStr">
        <is>
          <t>DP034</t>
        </is>
      </c>
      <c r="F167" t="inlineStr">
        <is>
          <t>2025-03-23 19:19:00</t>
        </is>
      </c>
      <c r="G167" t="inlineStr">
        <is>
          <t>2025-03-23 19:46:00</t>
        </is>
      </c>
      <c r="H167" s="14" t="n">
        <v>8</v>
      </c>
      <c r="I167" s="13" t="n">
        <v>3136.16</v>
      </c>
      <c r="J167" s="13" t="n">
        <v>83.81</v>
      </c>
      <c r="K167" s="16" t="n">
        <v>27</v>
      </c>
      <c r="L167" t="inlineStr">
        <is>
          <t>Returned</t>
        </is>
      </c>
      <c r="M167" t="inlineStr">
        <is>
          <t>PAY04</t>
        </is>
      </c>
      <c r="N167" t="inlineStr">
        <is>
          <t>Evening</t>
        </is>
      </c>
      <c r="O167">
        <f>INDEX(Products_Catalog!$B$2:$B$151, MATCH(C167, Products_Catalog!$A$2:$A$151, 0))</f>
        <v/>
      </c>
      <c r="P167" s="13">
        <f>INDEX(Products_Catalog!$D$2:$D$151, MATCH(C167, Products_Catalog!$A$2:$A$151, 0))</f>
        <v/>
      </c>
      <c r="Q167" s="13">
        <f>I167-J167</f>
        <v/>
      </c>
      <c r="R167" s="15">
        <f>IF(K167&gt;20, "BREACH", "OK")</f>
        <v/>
      </c>
    </row>
    <row r="168">
      <c r="A168" t="inlineStr">
        <is>
          <t>ORD01091</t>
        </is>
      </c>
      <c r="B168" t="inlineStr">
        <is>
          <t>CUST0013</t>
        </is>
      </c>
      <c r="C168" t="inlineStr">
        <is>
          <t>PROD047</t>
        </is>
      </c>
      <c r="D168" t="inlineStr">
        <is>
          <t>STORE025</t>
        </is>
      </c>
      <c r="E168" t="inlineStr">
        <is>
          <t>DP015</t>
        </is>
      </c>
      <c r="F168" t="inlineStr">
        <is>
          <t>2024-05-25 13:15:00</t>
        </is>
      </c>
      <c r="G168" t="inlineStr">
        <is>
          <t>2024-05-25 13:43:00</t>
        </is>
      </c>
      <c r="H168" s="14" t="n">
        <v>3</v>
      </c>
      <c r="I168" s="13" t="n">
        <v>982.38</v>
      </c>
      <c r="J168" s="13" t="n">
        <v>203.61</v>
      </c>
      <c r="K168" s="16" t="n">
        <v>28</v>
      </c>
      <c r="L168" t="inlineStr">
        <is>
          <t>Pending</t>
        </is>
      </c>
      <c r="M168" t="inlineStr">
        <is>
          <t>PAY01</t>
        </is>
      </c>
      <c r="N168" t="inlineStr">
        <is>
          <t>Afternoon</t>
        </is>
      </c>
      <c r="O168">
        <f>INDEX(Products_Catalog!$B$2:$B$151, MATCH(C168, Products_Catalog!$A$2:$A$151, 0))</f>
        <v/>
      </c>
      <c r="P168" s="13">
        <f>INDEX(Products_Catalog!$D$2:$D$151, MATCH(C168, Products_Catalog!$A$2:$A$151, 0))</f>
        <v/>
      </c>
      <c r="Q168" s="13">
        <f>I168-J168</f>
        <v/>
      </c>
      <c r="R168" s="15">
        <f>IF(K168&gt;20, "BREACH", "OK")</f>
        <v/>
      </c>
    </row>
    <row r="169">
      <c r="A169" t="inlineStr">
        <is>
          <t>ORD01092</t>
        </is>
      </c>
      <c r="B169" t="inlineStr">
        <is>
          <t>CUST0005</t>
        </is>
      </c>
      <c r="C169" t="inlineStr">
        <is>
          <t>PROD131</t>
        </is>
      </c>
      <c r="D169" t="inlineStr">
        <is>
          <t>STORE033</t>
        </is>
      </c>
      <c r="E169" t="inlineStr">
        <is>
          <t>DP006</t>
        </is>
      </c>
      <c r="F169" t="inlineStr">
        <is>
          <t>2024-01-09 11:31:00</t>
        </is>
      </c>
      <c r="G169" t="inlineStr">
        <is>
          <t>2024-01-09 12:00:00</t>
        </is>
      </c>
      <c r="H169" s="14" t="n">
        <v>5</v>
      </c>
      <c r="I169" s="13" t="n">
        <v>356.7</v>
      </c>
      <c r="J169" s="13" t="n">
        <v>99.40000000000001</v>
      </c>
      <c r="K169" s="16" t="n">
        <v>29</v>
      </c>
      <c r="L169" t="inlineStr">
        <is>
          <t>Delivered</t>
        </is>
      </c>
      <c r="M169" t="inlineStr">
        <is>
          <t>PAY04</t>
        </is>
      </c>
      <c r="N169" t="inlineStr">
        <is>
          <t>Morning</t>
        </is>
      </c>
      <c r="O169">
        <f>INDEX(Products_Catalog!$B$2:$B$151, MATCH(C169, Products_Catalog!$A$2:$A$151, 0))</f>
        <v/>
      </c>
      <c r="P169" s="13">
        <f>INDEX(Products_Catalog!$D$2:$D$151, MATCH(C169, Products_Catalog!$A$2:$A$151, 0))</f>
        <v/>
      </c>
      <c r="Q169" s="13">
        <f>I169-J169</f>
        <v/>
      </c>
      <c r="R169" s="15">
        <f>IF(K169&gt;20, "BREACH", "OK")</f>
        <v/>
      </c>
    </row>
    <row r="170">
      <c r="A170" t="inlineStr">
        <is>
          <t>ORD01093</t>
        </is>
      </c>
      <c r="B170" t="inlineStr">
        <is>
          <t>CUST0007</t>
        </is>
      </c>
      <c r="C170" t="inlineStr">
        <is>
          <t>PROD131</t>
        </is>
      </c>
      <c r="D170" t="inlineStr">
        <is>
          <t>STORE025</t>
        </is>
      </c>
      <c r="E170" t="inlineStr">
        <is>
          <t>DP027</t>
        </is>
      </c>
      <c r="F170" t="inlineStr">
        <is>
          <t>2024-09-19 13:59:00</t>
        </is>
      </c>
      <c r="G170" t="inlineStr">
        <is>
          <t>2024-09-19 14:29:00</t>
        </is>
      </c>
      <c r="H170" s="14" t="n">
        <v>9</v>
      </c>
      <c r="I170" s="13" t="n">
        <v>1813.05</v>
      </c>
      <c r="J170" s="13" t="n">
        <v>150.37</v>
      </c>
      <c r="K170" s="16" t="n">
        <v>30</v>
      </c>
      <c r="L170" t="inlineStr">
        <is>
          <t>Shipped</t>
        </is>
      </c>
      <c r="M170" t="inlineStr">
        <is>
          <t>PAY05</t>
        </is>
      </c>
      <c r="N170" t="inlineStr">
        <is>
          <t>Afternoon</t>
        </is>
      </c>
      <c r="O170">
        <f>INDEX(Products_Catalog!$B$2:$B$151, MATCH(C170, Products_Catalog!$A$2:$A$151, 0))</f>
        <v/>
      </c>
      <c r="P170" s="13">
        <f>INDEX(Products_Catalog!$D$2:$D$151, MATCH(C170, Products_Catalog!$A$2:$A$151, 0))</f>
        <v/>
      </c>
      <c r="Q170" s="13">
        <f>I170-J170</f>
        <v/>
      </c>
      <c r="R170" s="15">
        <f>IF(K170&gt;20, "BREACH", "OK")</f>
        <v/>
      </c>
    </row>
    <row r="171">
      <c r="A171" t="inlineStr">
        <is>
          <t>ORD01094</t>
        </is>
      </c>
      <c r="B171" t="inlineStr">
        <is>
          <t>CUST0013</t>
        </is>
      </c>
      <c r="C171" t="inlineStr">
        <is>
          <t>PROD028</t>
        </is>
      </c>
      <c r="D171" t="inlineStr">
        <is>
          <t>STORE035</t>
        </is>
      </c>
      <c r="E171" t="inlineStr">
        <is>
          <t>DP013</t>
        </is>
      </c>
      <c r="F171" t="inlineStr">
        <is>
          <t>2024-06-27 08:21:00</t>
        </is>
      </c>
      <c r="G171" t="inlineStr">
        <is>
          <t>2024-06-27 08:31:00</t>
        </is>
      </c>
      <c r="H171" s="14" t="n">
        <v>7</v>
      </c>
      <c r="I171" s="13" t="n">
        <v>2338.35</v>
      </c>
      <c r="J171" s="13" t="n">
        <v>292.81</v>
      </c>
      <c r="K171" s="16" t="n">
        <v>10</v>
      </c>
      <c r="L171" t="inlineStr">
        <is>
          <t>Delivered</t>
        </is>
      </c>
      <c r="M171" t="inlineStr">
        <is>
          <t>PAY04</t>
        </is>
      </c>
      <c r="N171" t="inlineStr">
        <is>
          <t>Morning</t>
        </is>
      </c>
      <c r="O171">
        <f>INDEX(Products_Catalog!$B$2:$B$151, MATCH(C171, Products_Catalog!$A$2:$A$151, 0))</f>
        <v/>
      </c>
      <c r="P171" s="13">
        <f>INDEX(Products_Catalog!$D$2:$D$151, MATCH(C171, Products_Catalog!$A$2:$A$151, 0))</f>
        <v/>
      </c>
      <c r="Q171" s="13">
        <f>I171-J171</f>
        <v/>
      </c>
      <c r="R171" s="15">
        <f>IF(K171&gt;20, "BREACH", "OK")</f>
        <v/>
      </c>
    </row>
    <row r="172">
      <c r="A172" t="inlineStr">
        <is>
          <t>ORD01095</t>
        </is>
      </c>
      <c r="B172" t="inlineStr">
        <is>
          <t>CUST0045</t>
        </is>
      </c>
      <c r="C172" t="inlineStr">
        <is>
          <t>PROD119</t>
        </is>
      </c>
      <c r="D172" t="inlineStr">
        <is>
          <t>STORE048</t>
        </is>
      </c>
      <c r="E172" t="inlineStr">
        <is>
          <t>DP001</t>
        </is>
      </c>
      <c r="F172" t="inlineStr">
        <is>
          <t>2025-04-28 15:49:00</t>
        </is>
      </c>
      <c r="G172" t="inlineStr">
        <is>
          <t>2025-04-28 16:00:00</t>
        </is>
      </c>
      <c r="H172" s="14" t="n">
        <v>3</v>
      </c>
      <c r="I172" s="13" t="n">
        <v>330.93</v>
      </c>
      <c r="J172" s="13" t="n">
        <v>96.39</v>
      </c>
      <c r="K172" s="16" t="n">
        <v>11</v>
      </c>
      <c r="L172" t="inlineStr">
        <is>
          <t>Delivered</t>
        </is>
      </c>
      <c r="M172" t="inlineStr">
        <is>
          <t>PAY05</t>
        </is>
      </c>
      <c r="N172" t="inlineStr">
        <is>
          <t>Afternoon</t>
        </is>
      </c>
      <c r="O172">
        <f>INDEX(Products_Catalog!$B$2:$B$151, MATCH(C172, Products_Catalog!$A$2:$A$151, 0))</f>
        <v/>
      </c>
      <c r="P172" s="13">
        <f>INDEX(Products_Catalog!$D$2:$D$151, MATCH(C172, Products_Catalog!$A$2:$A$151, 0))</f>
        <v/>
      </c>
      <c r="Q172" s="13">
        <f>I172-J172</f>
        <v/>
      </c>
      <c r="R172" s="15">
        <f>IF(K172&gt;20, "BREACH", "OK")</f>
        <v/>
      </c>
    </row>
    <row r="173">
      <c r="A173" t="inlineStr">
        <is>
          <t>ORD01096</t>
        </is>
      </c>
      <c r="B173" t="inlineStr">
        <is>
          <t>CUST0050</t>
        </is>
      </c>
      <c r="C173" t="inlineStr">
        <is>
          <t>PROD042</t>
        </is>
      </c>
      <c r="D173" t="inlineStr">
        <is>
          <t>STORE007</t>
        </is>
      </c>
      <c r="E173" t="inlineStr">
        <is>
          <t>DP041</t>
        </is>
      </c>
      <c r="F173" t="inlineStr">
        <is>
          <t>2024-07-12 13:11:00</t>
        </is>
      </c>
      <c r="G173" t="inlineStr">
        <is>
          <t>2024-07-12 13:23:00</t>
        </is>
      </c>
      <c r="H173" s="14" t="n">
        <v>9</v>
      </c>
      <c r="I173" s="13" t="n">
        <v>3654.99</v>
      </c>
      <c r="J173" s="13" t="n">
        <v>314.5</v>
      </c>
      <c r="K173" s="16" t="n">
        <v>12</v>
      </c>
      <c r="L173" t="inlineStr">
        <is>
          <t>Returned</t>
        </is>
      </c>
      <c r="M173" t="inlineStr">
        <is>
          <t>PAY03</t>
        </is>
      </c>
      <c r="N173" t="inlineStr">
        <is>
          <t>Afternoon</t>
        </is>
      </c>
      <c r="O173">
        <f>INDEX(Products_Catalog!$B$2:$B$151, MATCH(C173, Products_Catalog!$A$2:$A$151, 0))</f>
        <v/>
      </c>
      <c r="P173" s="13">
        <f>INDEX(Products_Catalog!$D$2:$D$151, MATCH(C173, Products_Catalog!$A$2:$A$151, 0))</f>
        <v/>
      </c>
      <c r="Q173" s="13">
        <f>I173-J173</f>
        <v/>
      </c>
      <c r="R173" s="15">
        <f>IF(K173&gt;20, "BREACH", "OK")</f>
        <v/>
      </c>
    </row>
    <row r="174">
      <c r="A174" t="inlineStr">
        <is>
          <t>ORD01098</t>
        </is>
      </c>
      <c r="B174" t="inlineStr">
        <is>
          <t>CUST0032</t>
        </is>
      </c>
      <c r="C174" t="inlineStr">
        <is>
          <t>PROD140</t>
        </is>
      </c>
      <c r="D174" t="inlineStr">
        <is>
          <t>STORE025</t>
        </is>
      </c>
      <c r="E174" t="inlineStr">
        <is>
          <t>DP016</t>
        </is>
      </c>
      <c r="F174" t="inlineStr">
        <is>
          <t>2025-05-12 11:52:00</t>
        </is>
      </c>
      <c r="G174" t="inlineStr">
        <is>
          <t>2025-05-12 12:06:00</t>
        </is>
      </c>
      <c r="H174" s="14" t="n">
        <v>10</v>
      </c>
      <c r="I174" s="13" t="n">
        <v>1442.5</v>
      </c>
      <c r="J174" s="13" t="n">
        <v>97.87</v>
      </c>
      <c r="K174" s="16" t="n">
        <v>14</v>
      </c>
      <c r="L174" t="inlineStr">
        <is>
          <t>Delivered</t>
        </is>
      </c>
      <c r="M174" t="inlineStr">
        <is>
          <t>PAY01</t>
        </is>
      </c>
      <c r="N174" t="inlineStr">
        <is>
          <t>Morning</t>
        </is>
      </c>
      <c r="O174">
        <f>INDEX(Products_Catalog!$B$2:$B$151, MATCH(C174, Products_Catalog!$A$2:$A$151, 0))</f>
        <v/>
      </c>
      <c r="P174" s="13">
        <f>INDEX(Products_Catalog!$D$2:$D$151, MATCH(C174, Products_Catalog!$A$2:$A$151, 0))</f>
        <v/>
      </c>
      <c r="Q174" s="13">
        <f>I174-J174</f>
        <v/>
      </c>
      <c r="R174" s="15">
        <f>IF(K174&gt;20, "BREACH", "OK")</f>
        <v/>
      </c>
    </row>
    <row r="175">
      <c r="A175" t="inlineStr">
        <is>
          <t>ORD01099</t>
        </is>
      </c>
      <c r="B175" t="inlineStr">
        <is>
          <t>CUST0017</t>
        </is>
      </c>
      <c r="C175" t="inlineStr">
        <is>
          <t>PROD142</t>
        </is>
      </c>
      <c r="D175" t="inlineStr">
        <is>
          <t>STORE017</t>
        </is>
      </c>
      <c r="E175" t="inlineStr">
        <is>
          <t>DP039</t>
        </is>
      </c>
      <c r="F175" t="inlineStr">
        <is>
          <t>2024-01-21 09:41:00</t>
        </is>
      </c>
      <c r="G175" t="inlineStr">
        <is>
          <t>2024-01-21 09:56:00</t>
        </is>
      </c>
      <c r="H175" s="14" t="n">
        <v>7</v>
      </c>
      <c r="I175" s="13" t="n">
        <v>1302.14</v>
      </c>
      <c r="J175" s="13" t="n">
        <v>121.84</v>
      </c>
      <c r="K175" s="16" t="n">
        <v>15</v>
      </c>
      <c r="L175" t="inlineStr">
        <is>
          <t>Cancelled</t>
        </is>
      </c>
      <c r="M175" t="inlineStr">
        <is>
          <t>PAY01</t>
        </is>
      </c>
      <c r="N175" t="inlineStr">
        <is>
          <t>Morning</t>
        </is>
      </c>
      <c r="O175">
        <f>INDEX(Products_Catalog!$B$2:$B$151, MATCH(C175, Products_Catalog!$A$2:$A$151, 0))</f>
        <v/>
      </c>
      <c r="P175" s="13">
        <f>INDEX(Products_Catalog!$D$2:$D$151, MATCH(C175, Products_Catalog!$A$2:$A$151, 0))</f>
        <v/>
      </c>
      <c r="Q175" s="13">
        <f>I175-J175</f>
        <v/>
      </c>
      <c r="R175" s="15">
        <f>IF(K175&gt;20, "BREACH", "OK")</f>
        <v/>
      </c>
    </row>
    <row r="176">
      <c r="A176" t="inlineStr">
        <is>
          <t>ORD01100</t>
        </is>
      </c>
      <c r="B176" t="inlineStr">
        <is>
          <t>CUST0021</t>
        </is>
      </c>
      <c r="C176" t="inlineStr">
        <is>
          <t>PROD120</t>
        </is>
      </c>
      <c r="D176" t="inlineStr">
        <is>
          <t>STORE046</t>
        </is>
      </c>
      <c r="E176" t="inlineStr">
        <is>
          <t>DP010</t>
        </is>
      </c>
      <c r="F176" t="inlineStr">
        <is>
          <t>2024-03-23 18:19:00</t>
        </is>
      </c>
      <c r="G176" t="inlineStr">
        <is>
          <t>2024-03-23 18:35:00</t>
        </is>
      </c>
      <c r="H176" s="14" t="n">
        <v>6</v>
      </c>
      <c r="I176" s="13" t="n">
        <v>1516.08</v>
      </c>
      <c r="J176" s="13" t="n">
        <v>383.93</v>
      </c>
      <c r="K176" s="16" t="n">
        <v>16</v>
      </c>
      <c r="L176" t="inlineStr">
        <is>
          <t>Shipped</t>
        </is>
      </c>
      <c r="M176" t="inlineStr">
        <is>
          <t>PAY05</t>
        </is>
      </c>
      <c r="N176" t="inlineStr">
        <is>
          <t>Evening</t>
        </is>
      </c>
      <c r="O176">
        <f>INDEX(Products_Catalog!$B$2:$B$151, MATCH(C176, Products_Catalog!$A$2:$A$151, 0))</f>
        <v/>
      </c>
      <c r="P176" s="13">
        <f>INDEX(Products_Catalog!$D$2:$D$151, MATCH(C176, Products_Catalog!$A$2:$A$151, 0))</f>
        <v/>
      </c>
      <c r="Q176" s="13">
        <f>I176-J176</f>
        <v/>
      </c>
      <c r="R176" s="15">
        <f>IF(K176&gt;20, "BREACH", "OK")</f>
        <v/>
      </c>
    </row>
    <row r="177">
      <c r="A177" t="inlineStr">
        <is>
          <t>ORD01101</t>
        </is>
      </c>
      <c r="B177" t="inlineStr">
        <is>
          <t>CUST0020</t>
        </is>
      </c>
      <c r="C177" t="inlineStr">
        <is>
          <t>PROD128</t>
        </is>
      </c>
      <c r="D177" t="inlineStr">
        <is>
          <t>STORE020</t>
        </is>
      </c>
      <c r="E177" t="inlineStr">
        <is>
          <t>DP003</t>
        </is>
      </c>
      <c r="F177" t="inlineStr">
        <is>
          <t>2024-12-23 17:34:00</t>
        </is>
      </c>
      <c r="G177" t="inlineStr">
        <is>
          <t>2024-12-23 17:51:00</t>
        </is>
      </c>
      <c r="H177" s="14" t="n">
        <v>10</v>
      </c>
      <c r="I177" s="13" t="n">
        <v>637</v>
      </c>
      <c r="J177" s="13" t="n">
        <v>8.34</v>
      </c>
      <c r="K177" s="16" t="n">
        <v>17</v>
      </c>
      <c r="L177" t="inlineStr">
        <is>
          <t>Returned</t>
        </is>
      </c>
      <c r="M177" t="inlineStr">
        <is>
          <t>PAY05</t>
        </is>
      </c>
      <c r="N177" t="inlineStr">
        <is>
          <t>Evening</t>
        </is>
      </c>
      <c r="O177">
        <f>INDEX(Products_Catalog!$B$2:$B$151, MATCH(C177, Products_Catalog!$A$2:$A$151, 0))</f>
        <v/>
      </c>
      <c r="P177" s="13">
        <f>INDEX(Products_Catalog!$D$2:$D$151, MATCH(C177, Products_Catalog!$A$2:$A$151, 0))</f>
        <v/>
      </c>
      <c r="Q177" s="13">
        <f>I177-J177</f>
        <v/>
      </c>
      <c r="R177" s="15">
        <f>IF(K177&gt;20, "BREACH", "OK")</f>
        <v/>
      </c>
    </row>
    <row r="178">
      <c r="A178" t="inlineStr">
        <is>
          <t>ORD01104</t>
        </is>
      </c>
      <c r="B178" t="inlineStr">
        <is>
          <t>CUST0015</t>
        </is>
      </c>
      <c r="C178" t="inlineStr">
        <is>
          <t>PROD132</t>
        </is>
      </c>
      <c r="D178" t="inlineStr">
        <is>
          <t>STORE040</t>
        </is>
      </c>
      <c r="E178" t="inlineStr">
        <is>
          <t>DP027</t>
        </is>
      </c>
      <c r="F178" t="inlineStr">
        <is>
          <t>2024-12-22 13:20:00</t>
        </is>
      </c>
      <c r="G178" t="inlineStr">
        <is>
          <t>2024-12-22 13:40:00</t>
        </is>
      </c>
      <c r="H178" s="14" t="n">
        <v>9</v>
      </c>
      <c r="I178" s="13" t="n">
        <v>2565.81</v>
      </c>
      <c r="J178" s="13" t="n">
        <v>520.27</v>
      </c>
      <c r="K178" s="16" t="n">
        <v>20</v>
      </c>
      <c r="L178" t="inlineStr">
        <is>
          <t>Cancelled</t>
        </is>
      </c>
      <c r="M178" t="inlineStr">
        <is>
          <t>PAY03</t>
        </is>
      </c>
      <c r="N178" t="inlineStr">
        <is>
          <t>Afternoon</t>
        </is>
      </c>
      <c r="O178">
        <f>INDEX(Products_Catalog!$B$2:$B$151, MATCH(C178, Products_Catalog!$A$2:$A$151, 0))</f>
        <v/>
      </c>
      <c r="P178" s="13">
        <f>INDEX(Products_Catalog!$D$2:$D$151, MATCH(C178, Products_Catalog!$A$2:$A$151, 0))</f>
        <v/>
      </c>
      <c r="Q178" s="13">
        <f>I178-J178</f>
        <v/>
      </c>
      <c r="R178" s="15">
        <f>IF(K178&gt;20, "BREACH", "OK")</f>
        <v/>
      </c>
    </row>
    <row r="179">
      <c r="A179" t="inlineStr">
        <is>
          <t>ORD01105</t>
        </is>
      </c>
      <c r="B179" t="inlineStr">
        <is>
          <t>CUST0012</t>
        </is>
      </c>
      <c r="C179" t="inlineStr">
        <is>
          <t>PROD003</t>
        </is>
      </c>
      <c r="D179" t="inlineStr">
        <is>
          <t>STORE039</t>
        </is>
      </c>
      <c r="E179" t="inlineStr">
        <is>
          <t>DP042</t>
        </is>
      </c>
      <c r="F179" t="inlineStr">
        <is>
          <t>2025-06-16 16:47:00</t>
        </is>
      </c>
      <c r="G179" t="inlineStr">
        <is>
          <t>2025-06-16 17:08:00</t>
        </is>
      </c>
      <c r="H179" s="14" t="n">
        <v>2</v>
      </c>
      <c r="I179" s="13" t="n">
        <v>743.1</v>
      </c>
      <c r="J179" s="13" t="n">
        <v>154</v>
      </c>
      <c r="K179" s="16" t="n">
        <v>21</v>
      </c>
      <c r="L179" t="inlineStr">
        <is>
          <t>Shipped</t>
        </is>
      </c>
      <c r="M179" t="inlineStr">
        <is>
          <t>PAY02</t>
        </is>
      </c>
      <c r="N179" t="inlineStr">
        <is>
          <t>Afternoon</t>
        </is>
      </c>
      <c r="O179">
        <f>INDEX(Products_Catalog!$B$2:$B$151, MATCH(C179, Products_Catalog!$A$2:$A$151, 0))</f>
        <v/>
      </c>
      <c r="P179" s="13">
        <f>INDEX(Products_Catalog!$D$2:$D$151, MATCH(C179, Products_Catalog!$A$2:$A$151, 0))</f>
        <v/>
      </c>
      <c r="Q179" s="13">
        <f>I179-J179</f>
        <v/>
      </c>
      <c r="R179" s="15">
        <f>IF(K179&gt;20, "BREACH", "OK")</f>
        <v/>
      </c>
    </row>
    <row r="180">
      <c r="A180" t="inlineStr">
        <is>
          <t>ORD01106</t>
        </is>
      </c>
      <c r="B180" t="inlineStr">
        <is>
          <t>CUST0019</t>
        </is>
      </c>
      <c r="C180" t="inlineStr">
        <is>
          <t>PROD028</t>
        </is>
      </c>
      <c r="D180" t="inlineStr">
        <is>
          <t>STORE046</t>
        </is>
      </c>
      <c r="E180" t="inlineStr">
        <is>
          <t>DP027</t>
        </is>
      </c>
      <c r="F180" t="inlineStr">
        <is>
          <t>2024-09-01 15:33:00</t>
        </is>
      </c>
      <c r="G180" t="inlineStr">
        <is>
          <t>2024-09-01 15:55:00</t>
        </is>
      </c>
      <c r="H180" s="14" t="n">
        <v>3</v>
      </c>
      <c r="I180" s="13" t="n">
        <v>395.34</v>
      </c>
      <c r="J180" s="13" t="n">
        <v>99.84</v>
      </c>
      <c r="K180" s="16" t="n">
        <v>22</v>
      </c>
      <c r="L180" t="inlineStr">
        <is>
          <t>Shipped</t>
        </is>
      </c>
      <c r="M180" t="inlineStr">
        <is>
          <t>PAY01</t>
        </is>
      </c>
      <c r="N180" t="inlineStr">
        <is>
          <t>Afternoon</t>
        </is>
      </c>
      <c r="O180">
        <f>INDEX(Products_Catalog!$B$2:$B$151, MATCH(C180, Products_Catalog!$A$2:$A$151, 0))</f>
        <v/>
      </c>
      <c r="P180" s="13">
        <f>INDEX(Products_Catalog!$D$2:$D$151, MATCH(C180, Products_Catalog!$A$2:$A$151, 0))</f>
        <v/>
      </c>
      <c r="Q180" s="13">
        <f>I180-J180</f>
        <v/>
      </c>
      <c r="R180" s="15">
        <f>IF(K180&gt;20, "BREACH", "OK")</f>
        <v/>
      </c>
    </row>
    <row r="181">
      <c r="A181" t="inlineStr">
        <is>
          <t>ORD01108</t>
        </is>
      </c>
      <c r="B181" t="inlineStr">
        <is>
          <t>CUST0002</t>
        </is>
      </c>
      <c r="C181" t="inlineStr">
        <is>
          <t>PROD029</t>
        </is>
      </c>
      <c r="D181" t="inlineStr">
        <is>
          <t>STORE020</t>
        </is>
      </c>
      <c r="E181" t="inlineStr">
        <is>
          <t>DP008</t>
        </is>
      </c>
      <c r="F181" t="inlineStr">
        <is>
          <t>2025-03-28 14:28:00</t>
        </is>
      </c>
      <c r="G181" t="inlineStr">
        <is>
          <t>2025-03-28 14:52:00</t>
        </is>
      </c>
      <c r="H181" s="14" t="n">
        <v>2</v>
      </c>
      <c r="I181" s="13" t="n">
        <v>667.24</v>
      </c>
      <c r="J181" s="13" t="n">
        <v>171.93</v>
      </c>
      <c r="K181" s="16" t="n">
        <v>24</v>
      </c>
      <c r="L181" t="inlineStr">
        <is>
          <t>Shipped</t>
        </is>
      </c>
      <c r="M181" t="inlineStr">
        <is>
          <t>PAY02</t>
        </is>
      </c>
      <c r="N181" t="inlineStr">
        <is>
          <t>Afternoon</t>
        </is>
      </c>
      <c r="O181">
        <f>INDEX(Products_Catalog!$B$2:$B$151, MATCH(C181, Products_Catalog!$A$2:$A$151, 0))</f>
        <v/>
      </c>
      <c r="P181" s="13">
        <f>INDEX(Products_Catalog!$D$2:$D$151, MATCH(C181, Products_Catalog!$A$2:$A$151, 0))</f>
        <v/>
      </c>
      <c r="Q181" s="13">
        <f>I181-J181</f>
        <v/>
      </c>
      <c r="R181" s="15">
        <f>IF(K181&gt;20, "BREACH", "OK")</f>
        <v/>
      </c>
    </row>
    <row r="182">
      <c r="A182" t="inlineStr">
        <is>
          <t>ORD01109</t>
        </is>
      </c>
      <c r="B182" t="inlineStr">
        <is>
          <t>CUST0036</t>
        </is>
      </c>
      <c r="C182" t="inlineStr">
        <is>
          <t>PROD129</t>
        </is>
      </c>
      <c r="D182" t="inlineStr">
        <is>
          <t>STORE032</t>
        </is>
      </c>
      <c r="E182" t="inlineStr">
        <is>
          <t>DP024</t>
        </is>
      </c>
      <c r="F182" t="inlineStr">
        <is>
          <t>2024-06-29 17:25:00</t>
        </is>
      </c>
      <c r="G182" t="inlineStr">
        <is>
          <t>2024-06-29 17:50:00</t>
        </is>
      </c>
      <c r="H182" s="14" t="n">
        <v>1</v>
      </c>
      <c r="I182" s="13" t="n">
        <v>280.25</v>
      </c>
      <c r="J182" s="13" t="n">
        <v>17.59</v>
      </c>
      <c r="K182" s="16" t="n">
        <v>25</v>
      </c>
      <c r="L182" t="inlineStr">
        <is>
          <t>Delivered</t>
        </is>
      </c>
      <c r="M182" t="inlineStr">
        <is>
          <t>PAY01</t>
        </is>
      </c>
      <c r="N182" t="inlineStr">
        <is>
          <t>Evening</t>
        </is>
      </c>
      <c r="O182">
        <f>INDEX(Products_Catalog!$B$2:$B$151, MATCH(C182, Products_Catalog!$A$2:$A$151, 0))</f>
        <v/>
      </c>
      <c r="P182" s="13">
        <f>INDEX(Products_Catalog!$D$2:$D$151, MATCH(C182, Products_Catalog!$A$2:$A$151, 0))</f>
        <v/>
      </c>
      <c r="Q182" s="13">
        <f>I182-J182</f>
        <v/>
      </c>
      <c r="R182" s="15">
        <f>IF(K182&gt;20, "BREACH", "OK")</f>
        <v/>
      </c>
    </row>
    <row r="183">
      <c r="A183" t="inlineStr">
        <is>
          <t>ORD01112</t>
        </is>
      </c>
      <c r="B183" t="inlineStr">
        <is>
          <t>CUST0030</t>
        </is>
      </c>
      <c r="C183" t="inlineStr">
        <is>
          <t>PROD131</t>
        </is>
      </c>
      <c r="D183" t="inlineStr">
        <is>
          <t>STORE023</t>
        </is>
      </c>
      <c r="E183" t="inlineStr">
        <is>
          <t>DP019</t>
        </is>
      </c>
      <c r="F183" t="inlineStr">
        <is>
          <t>2025-04-02 13:16:00</t>
        </is>
      </c>
      <c r="G183" t="inlineStr">
        <is>
          <t>2025-04-02 13:44:00</t>
        </is>
      </c>
      <c r="H183" s="14" t="n">
        <v>4</v>
      </c>
      <c r="I183" s="13" t="n">
        <v>716.84</v>
      </c>
      <c r="J183" s="13" t="n">
        <v>177.25</v>
      </c>
      <c r="K183" s="16" t="n">
        <v>28</v>
      </c>
      <c r="L183" t="inlineStr">
        <is>
          <t>Shipped</t>
        </is>
      </c>
      <c r="M183" t="inlineStr">
        <is>
          <t>PAY05</t>
        </is>
      </c>
      <c r="N183" t="inlineStr">
        <is>
          <t>Afternoon</t>
        </is>
      </c>
      <c r="O183">
        <f>INDEX(Products_Catalog!$B$2:$B$151, MATCH(C183, Products_Catalog!$A$2:$A$151, 0))</f>
        <v/>
      </c>
      <c r="P183" s="13">
        <f>INDEX(Products_Catalog!$D$2:$D$151, MATCH(C183, Products_Catalog!$A$2:$A$151, 0))</f>
        <v/>
      </c>
      <c r="Q183" s="13">
        <f>I183-J183</f>
        <v/>
      </c>
      <c r="R183" s="15">
        <f>IF(K183&gt;20, "BREACH", "OK")</f>
        <v/>
      </c>
    </row>
    <row r="184">
      <c r="A184" t="inlineStr">
        <is>
          <t>ORD01114</t>
        </is>
      </c>
      <c r="B184" t="inlineStr">
        <is>
          <t>CUST0002</t>
        </is>
      </c>
      <c r="C184" t="inlineStr">
        <is>
          <t>PROD032</t>
        </is>
      </c>
      <c r="D184" t="inlineStr">
        <is>
          <t>STORE034</t>
        </is>
      </c>
      <c r="E184" t="inlineStr">
        <is>
          <t>DP043</t>
        </is>
      </c>
      <c r="F184" t="inlineStr">
        <is>
          <t>2024-04-23 09:31:00</t>
        </is>
      </c>
      <c r="G184" t="inlineStr">
        <is>
          <t>2024-04-23 10:01:00</t>
        </is>
      </c>
      <c r="H184" s="14" t="n">
        <v>1</v>
      </c>
      <c r="I184" s="13" t="n">
        <v>300.78</v>
      </c>
      <c r="J184" s="13" t="n">
        <v>56.35</v>
      </c>
      <c r="K184" s="16" t="n">
        <v>30</v>
      </c>
      <c r="L184" t="inlineStr">
        <is>
          <t>Delivered</t>
        </is>
      </c>
      <c r="M184" t="inlineStr">
        <is>
          <t>PAY01</t>
        </is>
      </c>
      <c r="N184" t="inlineStr">
        <is>
          <t>Morning</t>
        </is>
      </c>
      <c r="O184">
        <f>INDEX(Products_Catalog!$B$2:$B$151, MATCH(C184, Products_Catalog!$A$2:$A$151, 0))</f>
        <v/>
      </c>
      <c r="P184" s="13">
        <f>INDEX(Products_Catalog!$D$2:$D$151, MATCH(C184, Products_Catalog!$A$2:$A$151, 0))</f>
        <v/>
      </c>
      <c r="Q184" s="13">
        <f>I184-J184</f>
        <v/>
      </c>
      <c r="R184" s="15">
        <f>IF(K184&gt;20, "BREACH", "OK")</f>
        <v/>
      </c>
    </row>
    <row r="185">
      <c r="A185" t="inlineStr">
        <is>
          <t>ORD01115</t>
        </is>
      </c>
      <c r="B185" t="inlineStr">
        <is>
          <t>CUST0026</t>
        </is>
      </c>
      <c r="C185" t="inlineStr">
        <is>
          <t>PROD040</t>
        </is>
      </c>
      <c r="D185" t="inlineStr">
        <is>
          <t>STORE004</t>
        </is>
      </c>
      <c r="E185" t="inlineStr">
        <is>
          <t>DP030</t>
        </is>
      </c>
      <c r="F185" t="inlineStr">
        <is>
          <t>2024-08-15 18:46:00</t>
        </is>
      </c>
      <c r="G185" t="inlineStr">
        <is>
          <t>2024-08-15 18:56:00</t>
        </is>
      </c>
      <c r="H185" s="14" t="n">
        <v>5</v>
      </c>
      <c r="I185" s="13" t="n">
        <v>872.55</v>
      </c>
      <c r="J185" s="13" t="n">
        <v>43.79</v>
      </c>
      <c r="K185" s="16" t="n">
        <v>10</v>
      </c>
      <c r="L185" t="inlineStr">
        <is>
          <t>Shipped</t>
        </is>
      </c>
      <c r="M185" t="inlineStr">
        <is>
          <t>PAY04</t>
        </is>
      </c>
      <c r="N185" t="inlineStr">
        <is>
          <t>Evening</t>
        </is>
      </c>
      <c r="O185">
        <f>INDEX(Products_Catalog!$B$2:$B$151, MATCH(C185, Products_Catalog!$A$2:$A$151, 0))</f>
        <v/>
      </c>
      <c r="P185" s="13">
        <f>INDEX(Products_Catalog!$D$2:$D$151, MATCH(C185, Products_Catalog!$A$2:$A$151, 0))</f>
        <v/>
      </c>
      <c r="Q185" s="13">
        <f>I185-J185</f>
        <v/>
      </c>
      <c r="R185" s="15">
        <f>IF(K185&gt;20, "BREACH", "OK")</f>
        <v/>
      </c>
    </row>
    <row r="186">
      <c r="A186" t="inlineStr">
        <is>
          <t>ORD01116</t>
        </is>
      </c>
      <c r="B186" t="inlineStr">
        <is>
          <t>CUST0023</t>
        </is>
      </c>
      <c r="C186" t="inlineStr">
        <is>
          <t>PROD047</t>
        </is>
      </c>
      <c r="D186" t="inlineStr">
        <is>
          <t>STORE035</t>
        </is>
      </c>
      <c r="E186" t="inlineStr">
        <is>
          <t>DP020</t>
        </is>
      </c>
      <c r="F186" t="inlineStr">
        <is>
          <t>2024-06-11 12:39:00</t>
        </is>
      </c>
      <c r="G186" t="inlineStr">
        <is>
          <t>2024-06-11 12:50:00</t>
        </is>
      </c>
      <c r="H186" s="14" t="n">
        <v>8</v>
      </c>
      <c r="I186" s="13" t="n">
        <v>3667.52</v>
      </c>
      <c r="J186" s="13" t="n">
        <v>722.47</v>
      </c>
      <c r="K186" s="16" t="n">
        <v>11</v>
      </c>
      <c r="L186" t="inlineStr">
        <is>
          <t>Shipped</t>
        </is>
      </c>
      <c r="M186" t="inlineStr">
        <is>
          <t>PAY01</t>
        </is>
      </c>
      <c r="N186" t="inlineStr">
        <is>
          <t>Afternoon</t>
        </is>
      </c>
      <c r="O186">
        <f>INDEX(Products_Catalog!$B$2:$B$151, MATCH(C186, Products_Catalog!$A$2:$A$151, 0))</f>
        <v/>
      </c>
      <c r="P186" s="13">
        <f>INDEX(Products_Catalog!$D$2:$D$151, MATCH(C186, Products_Catalog!$A$2:$A$151, 0))</f>
        <v/>
      </c>
      <c r="Q186" s="13">
        <f>I186-J186</f>
        <v/>
      </c>
      <c r="R186" s="15">
        <f>IF(K186&gt;20, "BREACH", "OK")</f>
        <v/>
      </c>
    </row>
    <row r="187">
      <c r="A187" t="inlineStr">
        <is>
          <t>ORD01117</t>
        </is>
      </c>
      <c r="B187" t="inlineStr">
        <is>
          <t>CUST0041</t>
        </is>
      </c>
      <c r="C187" t="inlineStr">
        <is>
          <t>PROD012</t>
        </is>
      </c>
      <c r="D187" t="inlineStr">
        <is>
          <t>STORE024</t>
        </is>
      </c>
      <c r="E187" t="inlineStr">
        <is>
          <t>DP030</t>
        </is>
      </c>
      <c r="F187" t="inlineStr">
        <is>
          <t>2024-09-14 19:04:00</t>
        </is>
      </c>
      <c r="G187" t="inlineStr">
        <is>
          <t>2024-09-14 19:16:00</t>
        </is>
      </c>
      <c r="H187" s="14" t="n">
        <v>4</v>
      </c>
      <c r="I187" s="13" t="n">
        <v>1548.92</v>
      </c>
      <c r="J187" s="13" t="n">
        <v>277.31</v>
      </c>
      <c r="K187" s="16" t="n">
        <v>12</v>
      </c>
      <c r="L187" t="inlineStr">
        <is>
          <t>Shipped</t>
        </is>
      </c>
      <c r="M187" t="inlineStr">
        <is>
          <t>PAY05</t>
        </is>
      </c>
      <c r="N187" t="inlineStr">
        <is>
          <t>Evening</t>
        </is>
      </c>
      <c r="O187">
        <f>INDEX(Products_Catalog!$B$2:$B$151, MATCH(C187, Products_Catalog!$A$2:$A$151, 0))</f>
        <v/>
      </c>
      <c r="P187" s="13">
        <f>INDEX(Products_Catalog!$D$2:$D$151, MATCH(C187, Products_Catalog!$A$2:$A$151, 0))</f>
        <v/>
      </c>
      <c r="Q187" s="13">
        <f>I187-J187</f>
        <v/>
      </c>
      <c r="R187" s="15">
        <f>IF(K187&gt;20, "BREACH", "OK")</f>
        <v/>
      </c>
    </row>
    <row r="188">
      <c r="A188" t="inlineStr">
        <is>
          <t>ORD01118</t>
        </is>
      </c>
      <c r="B188" t="inlineStr">
        <is>
          <t>CUST0047</t>
        </is>
      </c>
      <c r="C188" t="inlineStr">
        <is>
          <t>PROD039</t>
        </is>
      </c>
      <c r="D188" t="inlineStr">
        <is>
          <t>STORE040</t>
        </is>
      </c>
      <c r="E188" t="inlineStr">
        <is>
          <t>DP033</t>
        </is>
      </c>
      <c r="F188" t="inlineStr">
        <is>
          <t>2024-08-04 13:49:00</t>
        </is>
      </c>
      <c r="G188" t="inlineStr">
        <is>
          <t>2024-08-04 14:02:00</t>
        </is>
      </c>
      <c r="H188" s="14" t="n">
        <v>4</v>
      </c>
      <c r="I188" s="13" t="n">
        <v>713.92</v>
      </c>
      <c r="J188" s="13" t="n">
        <v>55.23</v>
      </c>
      <c r="K188" s="16" t="n">
        <v>13</v>
      </c>
      <c r="L188" t="inlineStr">
        <is>
          <t>Delivered</t>
        </is>
      </c>
      <c r="M188" t="inlineStr">
        <is>
          <t>PAY03</t>
        </is>
      </c>
      <c r="N188" t="inlineStr">
        <is>
          <t>Afternoon</t>
        </is>
      </c>
      <c r="O188">
        <f>INDEX(Products_Catalog!$B$2:$B$151, MATCH(C188, Products_Catalog!$A$2:$A$151, 0))</f>
        <v/>
      </c>
      <c r="P188" s="13">
        <f>INDEX(Products_Catalog!$D$2:$D$151, MATCH(C188, Products_Catalog!$A$2:$A$151, 0))</f>
        <v/>
      </c>
      <c r="Q188" s="13">
        <f>I188-J188</f>
        <v/>
      </c>
      <c r="R188" s="15">
        <f>IF(K188&gt;20, "BREACH", "OK")</f>
        <v/>
      </c>
    </row>
    <row r="189">
      <c r="A189" t="inlineStr">
        <is>
          <t>ORD01120</t>
        </is>
      </c>
      <c r="B189" t="inlineStr">
        <is>
          <t>CUST0019</t>
        </is>
      </c>
      <c r="C189" t="inlineStr">
        <is>
          <t>PROD148</t>
        </is>
      </c>
      <c r="D189" t="inlineStr">
        <is>
          <t>STORE009</t>
        </is>
      </c>
      <c r="E189" t="inlineStr">
        <is>
          <t>DP009</t>
        </is>
      </c>
      <c r="F189" t="inlineStr">
        <is>
          <t>2024-09-16 18:54:00</t>
        </is>
      </c>
      <c r="G189" t="inlineStr">
        <is>
          <t>2024-09-16 19:09:00</t>
        </is>
      </c>
      <c r="H189" s="14" t="n">
        <v>6</v>
      </c>
      <c r="I189" s="13" t="n">
        <v>574.98</v>
      </c>
      <c r="J189" s="13" t="n">
        <v>124.14</v>
      </c>
      <c r="K189" s="16" t="n">
        <v>15</v>
      </c>
      <c r="L189" t="inlineStr">
        <is>
          <t>Delivered</t>
        </is>
      </c>
      <c r="M189" t="inlineStr">
        <is>
          <t>PAY02</t>
        </is>
      </c>
      <c r="N189" t="inlineStr">
        <is>
          <t>Evening</t>
        </is>
      </c>
      <c r="O189">
        <f>INDEX(Products_Catalog!$B$2:$B$151, MATCH(C189, Products_Catalog!$A$2:$A$151, 0))</f>
        <v/>
      </c>
      <c r="P189" s="13">
        <f>INDEX(Products_Catalog!$D$2:$D$151, MATCH(C189, Products_Catalog!$A$2:$A$151, 0))</f>
        <v/>
      </c>
      <c r="Q189" s="13">
        <f>I189-J189</f>
        <v/>
      </c>
      <c r="R189" s="15">
        <f>IF(K189&gt;20, "BREACH", "OK")</f>
        <v/>
      </c>
    </row>
    <row r="190">
      <c r="A190" t="inlineStr">
        <is>
          <t>ORD01121</t>
        </is>
      </c>
      <c r="B190" t="inlineStr">
        <is>
          <t>CUST0045</t>
        </is>
      </c>
      <c r="C190" t="inlineStr">
        <is>
          <t>PROD103</t>
        </is>
      </c>
      <c r="D190" t="inlineStr">
        <is>
          <t>STORE019</t>
        </is>
      </c>
      <c r="E190" t="inlineStr">
        <is>
          <t>DP012</t>
        </is>
      </c>
      <c r="F190" t="inlineStr">
        <is>
          <t>2025-04-18 15:24:00</t>
        </is>
      </c>
      <c r="G190" t="inlineStr">
        <is>
          <t>2025-04-18 15:40:00</t>
        </is>
      </c>
      <c r="H190" s="14" t="n">
        <v>9</v>
      </c>
      <c r="I190" s="13" t="n">
        <v>2475</v>
      </c>
      <c r="J190" s="13" t="n">
        <v>413.08</v>
      </c>
      <c r="K190" s="16" t="n">
        <v>16</v>
      </c>
      <c r="L190" t="inlineStr">
        <is>
          <t>Shipped</t>
        </is>
      </c>
      <c r="M190" t="inlineStr">
        <is>
          <t>PAY04</t>
        </is>
      </c>
      <c r="N190" t="inlineStr">
        <is>
          <t>Afternoon</t>
        </is>
      </c>
      <c r="O190">
        <f>INDEX(Products_Catalog!$B$2:$B$151, MATCH(C190, Products_Catalog!$A$2:$A$151, 0))</f>
        <v/>
      </c>
      <c r="P190" s="13">
        <f>INDEX(Products_Catalog!$D$2:$D$151, MATCH(C190, Products_Catalog!$A$2:$A$151, 0))</f>
        <v/>
      </c>
      <c r="Q190" s="13">
        <f>I190-J190</f>
        <v/>
      </c>
      <c r="R190" s="15">
        <f>IF(K190&gt;20, "BREACH", "OK")</f>
        <v/>
      </c>
    </row>
    <row r="191">
      <c r="A191" t="inlineStr">
        <is>
          <t>ORD01122</t>
        </is>
      </c>
      <c r="B191" t="inlineStr">
        <is>
          <t>CUST0048</t>
        </is>
      </c>
      <c r="C191" t="inlineStr">
        <is>
          <t>PROD109</t>
        </is>
      </c>
      <c r="D191" t="inlineStr">
        <is>
          <t>STORE044</t>
        </is>
      </c>
      <c r="E191" t="inlineStr">
        <is>
          <t>DP020</t>
        </is>
      </c>
      <c r="F191" t="inlineStr">
        <is>
          <t>2025-02-11 12:21:00</t>
        </is>
      </c>
      <c r="G191" t="inlineStr">
        <is>
          <t>2025-02-11 12:38:00</t>
        </is>
      </c>
      <c r="H191" s="14" t="n">
        <v>4</v>
      </c>
      <c r="I191" s="13" t="n">
        <v>1984.08</v>
      </c>
      <c r="J191" s="13" t="n">
        <v>574.39</v>
      </c>
      <c r="K191" s="16" t="n">
        <v>17</v>
      </c>
      <c r="L191" t="inlineStr">
        <is>
          <t>Pending</t>
        </is>
      </c>
      <c r="M191" t="inlineStr">
        <is>
          <t>PAY01</t>
        </is>
      </c>
      <c r="N191" t="inlineStr">
        <is>
          <t>Afternoon</t>
        </is>
      </c>
      <c r="O191">
        <f>INDEX(Products_Catalog!$B$2:$B$151, MATCH(C191, Products_Catalog!$A$2:$A$151, 0))</f>
        <v/>
      </c>
      <c r="P191" s="13">
        <f>INDEX(Products_Catalog!$D$2:$D$151, MATCH(C191, Products_Catalog!$A$2:$A$151, 0))</f>
        <v/>
      </c>
      <c r="Q191" s="13">
        <f>I191-J191</f>
        <v/>
      </c>
      <c r="R191" s="15">
        <f>IF(K191&gt;20, "BREACH", "OK")</f>
        <v/>
      </c>
    </row>
    <row r="192">
      <c r="A192" t="inlineStr">
        <is>
          <t>ORD01123</t>
        </is>
      </c>
      <c r="B192" t="inlineStr">
        <is>
          <t>CUST0033</t>
        </is>
      </c>
      <c r="C192" t="inlineStr">
        <is>
          <t>PROD001</t>
        </is>
      </c>
      <c r="D192" t="inlineStr">
        <is>
          <t>STORE002</t>
        </is>
      </c>
      <c r="E192" t="inlineStr">
        <is>
          <t>DP023</t>
        </is>
      </c>
      <c r="F192" t="inlineStr">
        <is>
          <t>2024-05-25 12:43:00</t>
        </is>
      </c>
      <c r="G192" t="inlineStr">
        <is>
          <t>2024-05-25 13:01:00</t>
        </is>
      </c>
      <c r="H192" s="14" t="n">
        <v>6</v>
      </c>
      <c r="I192" s="13" t="n">
        <v>1555.5</v>
      </c>
      <c r="J192" s="13" t="n">
        <v>26.92</v>
      </c>
      <c r="K192" s="16" t="n">
        <v>18</v>
      </c>
      <c r="L192" t="inlineStr">
        <is>
          <t>Delivered</t>
        </is>
      </c>
      <c r="M192" t="inlineStr">
        <is>
          <t>PAY04</t>
        </is>
      </c>
      <c r="N192" t="inlineStr">
        <is>
          <t>Afternoon</t>
        </is>
      </c>
      <c r="O192">
        <f>INDEX(Products_Catalog!$B$2:$B$151, MATCH(C192, Products_Catalog!$A$2:$A$151, 0))</f>
        <v/>
      </c>
      <c r="P192" s="13">
        <f>INDEX(Products_Catalog!$D$2:$D$151, MATCH(C192, Products_Catalog!$A$2:$A$151, 0))</f>
        <v/>
      </c>
      <c r="Q192" s="13">
        <f>I192-J192</f>
        <v/>
      </c>
      <c r="R192" s="15">
        <f>IF(K192&gt;20, "BREACH", "OK")</f>
        <v/>
      </c>
    </row>
    <row r="193">
      <c r="A193" t="inlineStr">
        <is>
          <t>ORD01124</t>
        </is>
      </c>
      <c r="B193" t="inlineStr">
        <is>
          <t>CUST0009</t>
        </is>
      </c>
      <c r="C193" t="inlineStr">
        <is>
          <t>PROD059</t>
        </is>
      </c>
      <c r="D193" t="inlineStr">
        <is>
          <t>STORE050</t>
        </is>
      </c>
      <c r="E193" t="inlineStr">
        <is>
          <t>DP004</t>
        </is>
      </c>
      <c r="F193" t="inlineStr">
        <is>
          <t>2024-05-22 17:21:00</t>
        </is>
      </c>
      <c r="G193" t="inlineStr">
        <is>
          <t>2024-05-22 17:40:00</t>
        </is>
      </c>
      <c r="H193" s="14" t="n">
        <v>7</v>
      </c>
      <c r="I193" s="13" t="n">
        <v>2999.5</v>
      </c>
      <c r="J193" s="13" t="n">
        <v>399.26</v>
      </c>
      <c r="K193" s="16" t="n">
        <v>19</v>
      </c>
      <c r="L193" t="inlineStr">
        <is>
          <t>Cancelled</t>
        </is>
      </c>
      <c r="M193" t="inlineStr">
        <is>
          <t>PAY04</t>
        </is>
      </c>
      <c r="N193" t="inlineStr">
        <is>
          <t>Evening</t>
        </is>
      </c>
      <c r="O193">
        <f>INDEX(Products_Catalog!$B$2:$B$151, MATCH(C193, Products_Catalog!$A$2:$A$151, 0))</f>
        <v/>
      </c>
      <c r="P193" s="13">
        <f>INDEX(Products_Catalog!$D$2:$D$151, MATCH(C193, Products_Catalog!$A$2:$A$151, 0))</f>
        <v/>
      </c>
      <c r="Q193" s="13">
        <f>I193-J193</f>
        <v/>
      </c>
      <c r="R193" s="15">
        <f>IF(K193&gt;20, "BREACH", "OK")</f>
        <v/>
      </c>
    </row>
    <row r="194">
      <c r="A194" t="inlineStr">
        <is>
          <t>ORD01125</t>
        </is>
      </c>
      <c r="B194" t="inlineStr">
        <is>
          <t>CUST0035</t>
        </is>
      </c>
      <c r="C194" t="inlineStr">
        <is>
          <t>PROD053</t>
        </is>
      </c>
      <c r="D194" t="inlineStr">
        <is>
          <t>STORE010</t>
        </is>
      </c>
      <c r="E194" t="inlineStr">
        <is>
          <t>DP033</t>
        </is>
      </c>
      <c r="F194" t="inlineStr">
        <is>
          <t>2024-04-07 14:43:00</t>
        </is>
      </c>
      <c r="G194" t="inlineStr">
        <is>
          <t>2024-04-07 15:03:00</t>
        </is>
      </c>
      <c r="H194" s="14" t="n">
        <v>2</v>
      </c>
      <c r="I194" s="13" t="n">
        <v>116.16</v>
      </c>
      <c r="J194" s="13" t="n">
        <v>19.78</v>
      </c>
      <c r="K194" s="16" t="n">
        <v>20</v>
      </c>
      <c r="L194" t="inlineStr">
        <is>
          <t>Shipped</t>
        </is>
      </c>
      <c r="M194" t="inlineStr">
        <is>
          <t>PAY01</t>
        </is>
      </c>
      <c r="N194" t="inlineStr">
        <is>
          <t>Afternoon</t>
        </is>
      </c>
      <c r="O194">
        <f>INDEX(Products_Catalog!$B$2:$B$151, MATCH(C194, Products_Catalog!$A$2:$A$151, 0))</f>
        <v/>
      </c>
      <c r="P194" s="13">
        <f>INDEX(Products_Catalog!$D$2:$D$151, MATCH(C194, Products_Catalog!$A$2:$A$151, 0))</f>
        <v/>
      </c>
      <c r="Q194" s="13">
        <f>I194-J194</f>
        <v/>
      </c>
      <c r="R194" s="15">
        <f>IF(K194&gt;20, "BREACH", "OK")</f>
        <v/>
      </c>
    </row>
    <row r="195">
      <c r="A195" t="inlineStr">
        <is>
          <t>ORD01126</t>
        </is>
      </c>
      <c r="B195" t="inlineStr">
        <is>
          <t>CUST0033</t>
        </is>
      </c>
      <c r="C195" t="inlineStr">
        <is>
          <t>PROD029</t>
        </is>
      </c>
      <c r="D195" t="inlineStr">
        <is>
          <t>STORE006</t>
        </is>
      </c>
      <c r="E195" t="inlineStr">
        <is>
          <t>DP030</t>
        </is>
      </c>
      <c r="F195" t="inlineStr">
        <is>
          <t>2024-04-08 17:24:00</t>
        </is>
      </c>
      <c r="G195" t="inlineStr">
        <is>
          <t>2024-04-08 17:45:00</t>
        </is>
      </c>
      <c r="H195" s="14" t="n">
        <v>5</v>
      </c>
      <c r="I195" s="13" t="n">
        <v>591.7</v>
      </c>
      <c r="J195" s="13" t="n">
        <v>16.62</v>
      </c>
      <c r="K195" s="16" t="n">
        <v>21</v>
      </c>
      <c r="L195" t="inlineStr">
        <is>
          <t>Cancelled</t>
        </is>
      </c>
      <c r="M195" t="inlineStr">
        <is>
          <t>PAY05</t>
        </is>
      </c>
      <c r="N195" t="inlineStr">
        <is>
          <t>Evening</t>
        </is>
      </c>
      <c r="O195">
        <f>INDEX(Products_Catalog!$B$2:$B$151, MATCH(C195, Products_Catalog!$A$2:$A$151, 0))</f>
        <v/>
      </c>
      <c r="P195" s="13">
        <f>INDEX(Products_Catalog!$D$2:$D$151, MATCH(C195, Products_Catalog!$A$2:$A$151, 0))</f>
        <v/>
      </c>
      <c r="Q195" s="13">
        <f>I195-J195</f>
        <v/>
      </c>
      <c r="R195" s="15">
        <f>IF(K195&gt;20, "BREACH", "OK")</f>
        <v/>
      </c>
    </row>
    <row r="196">
      <c r="A196" t="inlineStr">
        <is>
          <t>ORD01127</t>
        </is>
      </c>
      <c r="B196" t="inlineStr">
        <is>
          <t>CUST0030</t>
        </is>
      </c>
      <c r="C196" t="inlineStr">
        <is>
          <t>PROD066</t>
        </is>
      </c>
      <c r="D196" t="inlineStr">
        <is>
          <t>STORE018</t>
        </is>
      </c>
      <c r="E196" t="inlineStr">
        <is>
          <t>DP028</t>
        </is>
      </c>
      <c r="F196" t="inlineStr">
        <is>
          <t>2025-05-02 17:23:00</t>
        </is>
      </c>
      <c r="G196" t="inlineStr">
        <is>
          <t>2025-05-02 17:45:00</t>
        </is>
      </c>
      <c r="H196" s="14" t="n">
        <v>10</v>
      </c>
      <c r="I196" s="13" t="n">
        <v>1115.5</v>
      </c>
      <c r="J196" s="13" t="n">
        <v>91.13</v>
      </c>
      <c r="K196" s="16" t="n">
        <v>22</v>
      </c>
      <c r="L196" t="inlineStr">
        <is>
          <t>Pending</t>
        </is>
      </c>
      <c r="M196" t="inlineStr">
        <is>
          <t>PAY02</t>
        </is>
      </c>
      <c r="N196" t="inlineStr">
        <is>
          <t>Evening</t>
        </is>
      </c>
      <c r="O196">
        <f>INDEX(Products_Catalog!$B$2:$B$151, MATCH(C196, Products_Catalog!$A$2:$A$151, 0))</f>
        <v/>
      </c>
      <c r="P196" s="13">
        <f>INDEX(Products_Catalog!$D$2:$D$151, MATCH(C196, Products_Catalog!$A$2:$A$151, 0))</f>
        <v/>
      </c>
      <c r="Q196" s="13">
        <f>I196-J196</f>
        <v/>
      </c>
      <c r="R196" s="15">
        <f>IF(K196&gt;20, "BREACH", "OK")</f>
        <v/>
      </c>
    </row>
    <row r="197">
      <c r="A197" t="inlineStr">
        <is>
          <t>ORD01128</t>
        </is>
      </c>
      <c r="B197" t="inlineStr">
        <is>
          <t>CUST0021</t>
        </is>
      </c>
      <c r="C197" t="inlineStr">
        <is>
          <t>PROD024</t>
        </is>
      </c>
      <c r="D197" t="inlineStr">
        <is>
          <t>STORE029</t>
        </is>
      </c>
      <c r="E197" t="inlineStr">
        <is>
          <t>DP008</t>
        </is>
      </c>
      <c r="F197" t="inlineStr">
        <is>
          <t>2024-02-09 11:32:00</t>
        </is>
      </c>
      <c r="G197" t="inlineStr">
        <is>
          <t>2024-02-09 11:55:00</t>
        </is>
      </c>
      <c r="H197" s="14" t="n">
        <v>7</v>
      </c>
      <c r="I197" s="13" t="n">
        <v>1871.94</v>
      </c>
      <c r="J197" s="13" t="n">
        <v>412.27</v>
      </c>
      <c r="K197" s="16" t="n">
        <v>23</v>
      </c>
      <c r="L197" t="inlineStr">
        <is>
          <t>Delivered</t>
        </is>
      </c>
      <c r="M197" t="inlineStr">
        <is>
          <t>PAY05</t>
        </is>
      </c>
      <c r="N197" t="inlineStr">
        <is>
          <t>Morning</t>
        </is>
      </c>
      <c r="O197">
        <f>INDEX(Products_Catalog!$B$2:$B$151, MATCH(C197, Products_Catalog!$A$2:$A$151, 0))</f>
        <v/>
      </c>
      <c r="P197" s="13">
        <f>INDEX(Products_Catalog!$D$2:$D$151, MATCH(C197, Products_Catalog!$A$2:$A$151, 0))</f>
        <v/>
      </c>
      <c r="Q197" s="13">
        <f>I197-J197</f>
        <v/>
      </c>
      <c r="R197" s="15">
        <f>IF(K197&gt;20, "BREACH", "OK")</f>
        <v/>
      </c>
    </row>
    <row r="198">
      <c r="A198" t="inlineStr">
        <is>
          <t>ORD01130</t>
        </is>
      </c>
      <c r="B198" t="inlineStr">
        <is>
          <t>CUST0027</t>
        </is>
      </c>
      <c r="C198" t="inlineStr">
        <is>
          <t>PROD018</t>
        </is>
      </c>
      <c r="D198" t="inlineStr">
        <is>
          <t>STORE033</t>
        </is>
      </c>
      <c r="E198" t="inlineStr">
        <is>
          <t>DP002</t>
        </is>
      </c>
      <c r="F198" t="inlineStr">
        <is>
          <t>2024-12-12 11:02:00</t>
        </is>
      </c>
      <c r="G198" t="inlineStr">
        <is>
          <t>2024-12-12 11:27:00</t>
        </is>
      </c>
      <c r="H198" s="14" t="n">
        <v>5</v>
      </c>
      <c r="I198" s="13" t="n">
        <v>1122.15</v>
      </c>
      <c r="J198" s="13" t="n">
        <v>254.38</v>
      </c>
      <c r="K198" s="16" t="n">
        <v>25</v>
      </c>
      <c r="L198" t="inlineStr">
        <is>
          <t>Delivered</t>
        </is>
      </c>
      <c r="M198" t="inlineStr">
        <is>
          <t>PAY02</t>
        </is>
      </c>
      <c r="N198" t="inlineStr">
        <is>
          <t>Morning</t>
        </is>
      </c>
      <c r="O198">
        <f>INDEX(Products_Catalog!$B$2:$B$151, MATCH(C198, Products_Catalog!$A$2:$A$151, 0))</f>
        <v/>
      </c>
      <c r="P198" s="13">
        <f>INDEX(Products_Catalog!$D$2:$D$151, MATCH(C198, Products_Catalog!$A$2:$A$151, 0))</f>
        <v/>
      </c>
      <c r="Q198" s="13">
        <f>I198-J198</f>
        <v/>
      </c>
      <c r="R198" s="15">
        <f>IF(K198&gt;20, "BREACH", "OK")</f>
        <v/>
      </c>
    </row>
    <row r="199">
      <c r="A199" t="inlineStr">
        <is>
          <t>ORD01132</t>
        </is>
      </c>
      <c r="B199" t="inlineStr">
        <is>
          <t>CUST0032</t>
        </is>
      </c>
      <c r="C199" t="inlineStr">
        <is>
          <t>PROD068</t>
        </is>
      </c>
      <c r="D199" t="inlineStr">
        <is>
          <t>STORE006</t>
        </is>
      </c>
      <c r="E199" t="inlineStr">
        <is>
          <t>DP025</t>
        </is>
      </c>
      <c r="F199" t="inlineStr">
        <is>
          <t>2024-06-06 18:53:00</t>
        </is>
      </c>
      <c r="G199" t="inlineStr">
        <is>
          <t>2024-06-06 19:20:00</t>
        </is>
      </c>
      <c r="H199" s="14" t="n">
        <v>9</v>
      </c>
      <c r="I199" s="13" t="n">
        <v>993.87</v>
      </c>
      <c r="J199" s="13" t="n">
        <v>142.13</v>
      </c>
      <c r="K199" s="16" t="n">
        <v>27</v>
      </c>
      <c r="L199" t="inlineStr">
        <is>
          <t>Returned</t>
        </is>
      </c>
      <c r="M199" t="inlineStr">
        <is>
          <t>PAY03</t>
        </is>
      </c>
      <c r="N199" t="inlineStr">
        <is>
          <t>Evening</t>
        </is>
      </c>
      <c r="O199">
        <f>INDEX(Products_Catalog!$B$2:$B$151, MATCH(C199, Products_Catalog!$A$2:$A$151, 0))</f>
        <v/>
      </c>
      <c r="P199" s="13">
        <f>INDEX(Products_Catalog!$D$2:$D$151, MATCH(C199, Products_Catalog!$A$2:$A$151, 0))</f>
        <v/>
      </c>
      <c r="Q199" s="13">
        <f>I199-J199</f>
        <v/>
      </c>
      <c r="R199" s="15">
        <f>IF(K199&gt;20, "BREACH", "OK")</f>
        <v/>
      </c>
    </row>
    <row r="200">
      <c r="A200" t="inlineStr">
        <is>
          <t>ORD01133</t>
        </is>
      </c>
      <c r="B200" t="inlineStr">
        <is>
          <t>CUST0012</t>
        </is>
      </c>
      <c r="C200" t="inlineStr">
        <is>
          <t>PROD019</t>
        </is>
      </c>
      <c r="D200" t="inlineStr">
        <is>
          <t>STORE041</t>
        </is>
      </c>
      <c r="E200" t="inlineStr">
        <is>
          <t>DP004</t>
        </is>
      </c>
      <c r="F200" t="inlineStr">
        <is>
          <t>2024-08-13 18:04:00</t>
        </is>
      </c>
      <c r="G200" t="inlineStr">
        <is>
          <t>2024-08-13 18:32:00</t>
        </is>
      </c>
      <c r="H200" s="14" t="n">
        <v>10</v>
      </c>
      <c r="I200" s="13" t="n">
        <v>4565.1</v>
      </c>
      <c r="J200" s="13" t="n">
        <v>1258.89</v>
      </c>
      <c r="K200" s="16" t="n">
        <v>28</v>
      </c>
      <c r="L200" t="inlineStr">
        <is>
          <t>Delivered</t>
        </is>
      </c>
      <c r="M200" t="inlineStr">
        <is>
          <t>PAY01</t>
        </is>
      </c>
      <c r="N200" t="inlineStr">
        <is>
          <t>Evening</t>
        </is>
      </c>
      <c r="O200">
        <f>INDEX(Products_Catalog!$B$2:$B$151, MATCH(C200, Products_Catalog!$A$2:$A$151, 0))</f>
        <v/>
      </c>
      <c r="P200" s="13">
        <f>INDEX(Products_Catalog!$D$2:$D$151, MATCH(C200, Products_Catalog!$A$2:$A$151, 0))</f>
        <v/>
      </c>
      <c r="Q200" s="13">
        <f>I200-J200</f>
        <v/>
      </c>
      <c r="R200" s="15">
        <f>IF(K200&gt;20, "BREACH", "OK")</f>
        <v/>
      </c>
    </row>
    <row r="201">
      <c r="A201" t="inlineStr">
        <is>
          <t>ORD01134</t>
        </is>
      </c>
      <c r="B201" t="inlineStr">
        <is>
          <t>CUST0012</t>
        </is>
      </c>
      <c r="C201" t="inlineStr">
        <is>
          <t>PROD091</t>
        </is>
      </c>
      <c r="D201" t="inlineStr">
        <is>
          <t>STORE001</t>
        </is>
      </c>
      <c r="E201" t="inlineStr">
        <is>
          <t>DP018</t>
        </is>
      </c>
      <c r="F201" t="inlineStr">
        <is>
          <t>2025-01-23 14:34:00</t>
        </is>
      </c>
      <c r="G201" t="inlineStr">
        <is>
          <t>2025-01-23 15:03:00</t>
        </is>
      </c>
      <c r="H201" s="14" t="n">
        <v>9</v>
      </c>
      <c r="I201" s="13" t="n">
        <v>932.85</v>
      </c>
      <c r="J201" s="13" t="n">
        <v>196.24</v>
      </c>
      <c r="K201" s="16" t="n">
        <v>29</v>
      </c>
      <c r="L201" t="inlineStr">
        <is>
          <t>Shipped</t>
        </is>
      </c>
      <c r="M201" t="inlineStr">
        <is>
          <t>PAY04</t>
        </is>
      </c>
      <c r="N201" t="inlineStr">
        <is>
          <t>Afternoon</t>
        </is>
      </c>
      <c r="O201">
        <f>INDEX(Products_Catalog!$B$2:$B$151, MATCH(C201, Products_Catalog!$A$2:$A$151, 0))</f>
        <v/>
      </c>
      <c r="P201" s="13">
        <f>INDEX(Products_Catalog!$D$2:$D$151, MATCH(C201, Products_Catalog!$A$2:$A$151, 0))</f>
        <v/>
      </c>
      <c r="Q201" s="13">
        <f>I201-J201</f>
        <v/>
      </c>
      <c r="R201" s="15">
        <f>IF(K201&gt;20, "BREACH", "OK")</f>
        <v/>
      </c>
    </row>
    <row r="202">
      <c r="A202" t="inlineStr">
        <is>
          <t>ORD01135</t>
        </is>
      </c>
      <c r="B202" t="inlineStr">
        <is>
          <t>CUST0009</t>
        </is>
      </c>
      <c r="C202" t="inlineStr">
        <is>
          <t>PROD017</t>
        </is>
      </c>
      <c r="D202" t="inlineStr">
        <is>
          <t>STORE008</t>
        </is>
      </c>
      <c r="E202" t="inlineStr">
        <is>
          <t>DP032</t>
        </is>
      </c>
      <c r="F202" t="inlineStr">
        <is>
          <t>2024-05-09 09:25:00</t>
        </is>
      </c>
      <c r="G202" t="inlineStr">
        <is>
          <t>2024-05-09 09:55:00</t>
        </is>
      </c>
      <c r="H202" s="14" t="n">
        <v>4</v>
      </c>
      <c r="I202" s="13" t="n">
        <v>787.64</v>
      </c>
      <c r="J202" s="13" t="n">
        <v>232.5</v>
      </c>
      <c r="K202" s="16" t="n">
        <v>30</v>
      </c>
      <c r="L202" t="inlineStr">
        <is>
          <t>Returned</t>
        </is>
      </c>
      <c r="M202" t="inlineStr">
        <is>
          <t>PAY02</t>
        </is>
      </c>
      <c r="N202" t="inlineStr">
        <is>
          <t>Morning</t>
        </is>
      </c>
      <c r="O202">
        <f>INDEX(Products_Catalog!$B$2:$B$151, MATCH(C202, Products_Catalog!$A$2:$A$151, 0))</f>
        <v/>
      </c>
      <c r="P202" s="13">
        <f>INDEX(Products_Catalog!$D$2:$D$151, MATCH(C202, Products_Catalog!$A$2:$A$151, 0))</f>
        <v/>
      </c>
      <c r="Q202" s="13">
        <f>I202-J202</f>
        <v/>
      </c>
      <c r="R202" s="15">
        <f>IF(K202&gt;20, "BREACH", "OK")</f>
        <v/>
      </c>
    </row>
    <row r="203">
      <c r="A203" t="inlineStr">
        <is>
          <t>ORD01136</t>
        </is>
      </c>
      <c r="B203" t="inlineStr">
        <is>
          <t>CUST0028</t>
        </is>
      </c>
      <c r="C203" t="inlineStr">
        <is>
          <t>PROD119</t>
        </is>
      </c>
      <c r="D203" t="inlineStr">
        <is>
          <t>STORE003</t>
        </is>
      </c>
      <c r="E203" t="inlineStr">
        <is>
          <t>DP016</t>
        </is>
      </c>
      <c r="F203" t="inlineStr">
        <is>
          <t>2025-03-20 15:55:00</t>
        </is>
      </c>
      <c r="G203" t="inlineStr">
        <is>
          <t>2025-03-20 16:05:00</t>
        </is>
      </c>
      <c r="H203" s="14" t="n">
        <v>6</v>
      </c>
      <c r="I203" s="13" t="n">
        <v>1010.7</v>
      </c>
      <c r="J203" s="13" t="n">
        <v>167.16</v>
      </c>
      <c r="K203" s="16" t="n">
        <v>10</v>
      </c>
      <c r="L203" t="inlineStr">
        <is>
          <t>Pending</t>
        </is>
      </c>
      <c r="M203" t="inlineStr">
        <is>
          <t>PAY03</t>
        </is>
      </c>
      <c r="N203" t="inlineStr">
        <is>
          <t>Afternoon</t>
        </is>
      </c>
      <c r="O203">
        <f>INDEX(Products_Catalog!$B$2:$B$151, MATCH(C203, Products_Catalog!$A$2:$A$151, 0))</f>
        <v/>
      </c>
      <c r="P203" s="13">
        <f>INDEX(Products_Catalog!$D$2:$D$151, MATCH(C203, Products_Catalog!$A$2:$A$151, 0))</f>
        <v/>
      </c>
      <c r="Q203" s="13">
        <f>I203-J203</f>
        <v/>
      </c>
      <c r="R203" s="15">
        <f>IF(K203&gt;20, "BREACH", "OK")</f>
        <v/>
      </c>
    </row>
    <row r="204">
      <c r="A204" t="inlineStr">
        <is>
          <t>ORD01137</t>
        </is>
      </c>
      <c r="B204" t="inlineStr">
        <is>
          <t>CUST0027</t>
        </is>
      </c>
      <c r="C204" t="inlineStr">
        <is>
          <t>PROD150</t>
        </is>
      </c>
      <c r="D204" t="inlineStr">
        <is>
          <t>STORE021</t>
        </is>
      </c>
      <c r="E204" t="inlineStr">
        <is>
          <t>DP015</t>
        </is>
      </c>
      <c r="F204" t="inlineStr">
        <is>
          <t>2024-01-21 20:48:00</t>
        </is>
      </c>
      <c r="G204" t="inlineStr">
        <is>
          <t>2024-01-21 20:59:00</t>
        </is>
      </c>
      <c r="H204" s="14" t="n">
        <v>1</v>
      </c>
      <c r="I204" s="13" t="n">
        <v>384.61</v>
      </c>
      <c r="J204" s="13" t="n">
        <v>42.34</v>
      </c>
      <c r="K204" s="16" t="n">
        <v>11</v>
      </c>
      <c r="L204" t="inlineStr">
        <is>
          <t>Returned</t>
        </is>
      </c>
      <c r="M204" t="inlineStr">
        <is>
          <t>PAY04</t>
        </is>
      </c>
      <c r="N204" t="inlineStr">
        <is>
          <t>Evening</t>
        </is>
      </c>
      <c r="O204">
        <f>INDEX(Products_Catalog!$B$2:$B$151, MATCH(C204, Products_Catalog!$A$2:$A$151, 0))</f>
        <v/>
      </c>
      <c r="P204" s="13">
        <f>INDEX(Products_Catalog!$D$2:$D$151, MATCH(C204, Products_Catalog!$A$2:$A$151, 0))</f>
        <v/>
      </c>
      <c r="Q204" s="13">
        <f>I204-J204</f>
        <v/>
      </c>
      <c r="R204" s="15">
        <f>IF(K204&gt;20, "BREACH", "OK")</f>
        <v/>
      </c>
    </row>
    <row r="205">
      <c r="A205" t="inlineStr">
        <is>
          <t>ORD01138</t>
        </is>
      </c>
      <c r="B205" t="inlineStr">
        <is>
          <t>CUST0027</t>
        </is>
      </c>
      <c r="C205" t="inlineStr">
        <is>
          <t>PROD114</t>
        </is>
      </c>
      <c r="D205" t="inlineStr">
        <is>
          <t>STORE033</t>
        </is>
      </c>
      <c r="E205" t="inlineStr">
        <is>
          <t>DP045</t>
        </is>
      </c>
      <c r="F205" t="inlineStr">
        <is>
          <t>2025-06-10 20:23:00</t>
        </is>
      </c>
      <c r="G205" t="inlineStr">
        <is>
          <t>2025-06-10 20:35:00</t>
        </is>
      </c>
      <c r="H205" s="14" t="n">
        <v>10</v>
      </c>
      <c r="I205" s="13" t="n">
        <v>4422.5</v>
      </c>
      <c r="J205" s="13" t="n">
        <v>464.72</v>
      </c>
      <c r="K205" s="16" t="n">
        <v>12</v>
      </c>
      <c r="L205" t="inlineStr">
        <is>
          <t>Returned</t>
        </is>
      </c>
      <c r="M205" t="inlineStr">
        <is>
          <t>PAY01</t>
        </is>
      </c>
      <c r="N205" t="inlineStr">
        <is>
          <t>Evening</t>
        </is>
      </c>
      <c r="O205">
        <f>INDEX(Products_Catalog!$B$2:$B$151, MATCH(C205, Products_Catalog!$A$2:$A$151, 0))</f>
        <v/>
      </c>
      <c r="P205" s="13">
        <f>INDEX(Products_Catalog!$D$2:$D$151, MATCH(C205, Products_Catalog!$A$2:$A$151, 0))</f>
        <v/>
      </c>
      <c r="Q205" s="13">
        <f>I205-J205</f>
        <v/>
      </c>
      <c r="R205" s="15">
        <f>IF(K205&gt;20, "BREACH", "OK")</f>
        <v/>
      </c>
    </row>
    <row r="206">
      <c r="A206" t="inlineStr">
        <is>
          <t>ORD01139</t>
        </is>
      </c>
      <c r="B206" t="inlineStr">
        <is>
          <t>CUST0040</t>
        </is>
      </c>
      <c r="C206" t="inlineStr">
        <is>
          <t>PROD093</t>
        </is>
      </c>
      <c r="D206" t="inlineStr">
        <is>
          <t>STORE009</t>
        </is>
      </c>
      <c r="E206" t="inlineStr">
        <is>
          <t>DP045</t>
        </is>
      </c>
      <c r="F206" t="inlineStr">
        <is>
          <t>2024-06-16 13:00:00</t>
        </is>
      </c>
      <c r="G206" t="inlineStr">
        <is>
          <t>2024-06-16 13:13:00</t>
        </is>
      </c>
      <c r="H206" s="14" t="n">
        <v>7</v>
      </c>
      <c r="I206" s="13" t="n">
        <v>1440.53</v>
      </c>
      <c r="J206" s="13" t="n">
        <v>210.07</v>
      </c>
      <c r="K206" s="16" t="n">
        <v>13</v>
      </c>
      <c r="L206" t="inlineStr">
        <is>
          <t>Shipped</t>
        </is>
      </c>
      <c r="M206" t="inlineStr">
        <is>
          <t>PAY03</t>
        </is>
      </c>
      <c r="N206" t="inlineStr">
        <is>
          <t>Afternoon</t>
        </is>
      </c>
      <c r="O206">
        <f>INDEX(Products_Catalog!$B$2:$B$151, MATCH(C206, Products_Catalog!$A$2:$A$151, 0))</f>
        <v/>
      </c>
      <c r="P206" s="13">
        <f>INDEX(Products_Catalog!$D$2:$D$151, MATCH(C206, Products_Catalog!$A$2:$A$151, 0))</f>
        <v/>
      </c>
      <c r="Q206" s="13">
        <f>I206-J206</f>
        <v/>
      </c>
      <c r="R206" s="15">
        <f>IF(K206&gt;20, "BREACH", "OK")</f>
        <v/>
      </c>
    </row>
    <row r="207">
      <c r="A207" t="inlineStr">
        <is>
          <t>ORD01140</t>
        </is>
      </c>
      <c r="B207" t="inlineStr">
        <is>
          <t>CUST0016</t>
        </is>
      </c>
      <c r="C207" t="inlineStr">
        <is>
          <t>PROD023</t>
        </is>
      </c>
      <c r="D207" t="inlineStr">
        <is>
          <t>STORE040</t>
        </is>
      </c>
      <c r="E207" t="inlineStr">
        <is>
          <t>DP024</t>
        </is>
      </c>
      <c r="F207" t="inlineStr">
        <is>
          <t>2024-10-14 12:09:00</t>
        </is>
      </c>
      <c r="G207" t="inlineStr">
        <is>
          <t>2024-10-14 12:23:00</t>
        </is>
      </c>
      <c r="H207" s="14" t="n">
        <v>1</v>
      </c>
      <c r="I207" s="13" t="n">
        <v>416.36</v>
      </c>
      <c r="J207" s="13" t="n">
        <v>66.79000000000001</v>
      </c>
      <c r="K207" s="16" t="n">
        <v>14</v>
      </c>
      <c r="L207" t="inlineStr">
        <is>
          <t>Pending</t>
        </is>
      </c>
      <c r="M207" t="inlineStr">
        <is>
          <t>PAY01</t>
        </is>
      </c>
      <c r="N207" t="inlineStr">
        <is>
          <t>Afternoon</t>
        </is>
      </c>
      <c r="O207">
        <f>INDEX(Products_Catalog!$B$2:$B$151, MATCH(C207, Products_Catalog!$A$2:$A$151, 0))</f>
        <v/>
      </c>
      <c r="P207" s="13">
        <f>INDEX(Products_Catalog!$D$2:$D$151, MATCH(C207, Products_Catalog!$A$2:$A$151, 0))</f>
        <v/>
      </c>
      <c r="Q207" s="13">
        <f>I207-J207</f>
        <v/>
      </c>
      <c r="R207" s="15">
        <f>IF(K207&gt;20, "BREACH", "OK")</f>
        <v/>
      </c>
    </row>
    <row r="208">
      <c r="A208" t="inlineStr">
        <is>
          <t>ORD01141</t>
        </is>
      </c>
      <c r="B208" t="inlineStr">
        <is>
          <t>CUST0012</t>
        </is>
      </c>
      <c r="C208" t="inlineStr">
        <is>
          <t>PROD045</t>
        </is>
      </c>
      <c r="D208" t="inlineStr">
        <is>
          <t>STORE033</t>
        </is>
      </c>
      <c r="E208" t="inlineStr">
        <is>
          <t>DP044</t>
        </is>
      </c>
      <c r="F208" t="inlineStr">
        <is>
          <t>2024-10-14 13:26:00</t>
        </is>
      </c>
      <c r="G208" t="inlineStr">
        <is>
          <t>2024-10-14 13:41:00</t>
        </is>
      </c>
      <c r="H208" s="14" t="n">
        <v>5</v>
      </c>
      <c r="I208" s="13" t="n">
        <v>1605.2</v>
      </c>
      <c r="J208" s="13" t="n">
        <v>138.86</v>
      </c>
      <c r="K208" s="16" t="n">
        <v>15</v>
      </c>
      <c r="L208" t="inlineStr">
        <is>
          <t>Delivered</t>
        </is>
      </c>
      <c r="M208" t="inlineStr">
        <is>
          <t>PAY04</t>
        </is>
      </c>
      <c r="N208" t="inlineStr">
        <is>
          <t>Afternoon</t>
        </is>
      </c>
      <c r="O208">
        <f>INDEX(Products_Catalog!$B$2:$B$151, MATCH(C208, Products_Catalog!$A$2:$A$151, 0))</f>
        <v/>
      </c>
      <c r="P208" s="13">
        <f>INDEX(Products_Catalog!$D$2:$D$151, MATCH(C208, Products_Catalog!$A$2:$A$151, 0))</f>
        <v/>
      </c>
      <c r="Q208" s="13">
        <f>I208-J208</f>
        <v/>
      </c>
      <c r="R208" s="15">
        <f>IF(K208&gt;20, "BREACH", "OK")</f>
        <v/>
      </c>
    </row>
    <row r="209">
      <c r="A209" t="inlineStr">
        <is>
          <t>ORD01143</t>
        </is>
      </c>
      <c r="B209" t="inlineStr">
        <is>
          <t>CUST0012</t>
        </is>
      </c>
      <c r="C209" t="inlineStr">
        <is>
          <t>PROD083</t>
        </is>
      </c>
      <c r="D209" t="inlineStr">
        <is>
          <t>STORE005</t>
        </is>
      </c>
      <c r="E209" t="inlineStr">
        <is>
          <t>DP029</t>
        </is>
      </c>
      <c r="F209" t="inlineStr">
        <is>
          <t>2024-11-21 08:36:00</t>
        </is>
      </c>
      <c r="G209" t="inlineStr">
        <is>
          <t>2024-11-21 08:53:00</t>
        </is>
      </c>
      <c r="H209" s="14" t="n">
        <v>10</v>
      </c>
      <c r="I209" s="13" t="n">
        <v>4917.3</v>
      </c>
      <c r="J209" s="13" t="n">
        <v>980.3099999999999</v>
      </c>
      <c r="K209" s="16" t="n">
        <v>17</v>
      </c>
      <c r="L209" t="inlineStr">
        <is>
          <t>Cancelled</t>
        </is>
      </c>
      <c r="M209" t="inlineStr">
        <is>
          <t>PAY05</t>
        </is>
      </c>
      <c r="N209" t="inlineStr">
        <is>
          <t>Morning</t>
        </is>
      </c>
      <c r="O209">
        <f>INDEX(Products_Catalog!$B$2:$B$151, MATCH(C209, Products_Catalog!$A$2:$A$151, 0))</f>
        <v/>
      </c>
      <c r="P209" s="13">
        <f>INDEX(Products_Catalog!$D$2:$D$151, MATCH(C209, Products_Catalog!$A$2:$A$151, 0))</f>
        <v/>
      </c>
      <c r="Q209" s="13">
        <f>I209-J209</f>
        <v/>
      </c>
      <c r="R209" s="15">
        <f>IF(K209&gt;20, "BREACH", "OK")</f>
        <v/>
      </c>
    </row>
    <row r="210">
      <c r="A210" t="inlineStr">
        <is>
          <t>ORD01145</t>
        </is>
      </c>
      <c r="B210" t="inlineStr">
        <is>
          <t>CUST0008</t>
        </is>
      </c>
      <c r="C210" t="inlineStr">
        <is>
          <t>PROD123</t>
        </is>
      </c>
      <c r="D210" t="inlineStr">
        <is>
          <t>STORE015</t>
        </is>
      </c>
      <c r="E210" t="inlineStr">
        <is>
          <t>DP030</t>
        </is>
      </c>
      <c r="F210" t="inlineStr">
        <is>
          <t>2025-03-19 14:19:00</t>
        </is>
      </c>
      <c r="G210" t="inlineStr">
        <is>
          <t>2025-03-19 14:38:00</t>
        </is>
      </c>
      <c r="H210" s="14" t="n">
        <v>3</v>
      </c>
      <c r="I210" s="13" t="n">
        <v>1157.22</v>
      </c>
      <c r="J210" s="13" t="n">
        <v>339.44</v>
      </c>
      <c r="K210" s="16" t="n">
        <v>19</v>
      </c>
      <c r="L210" t="inlineStr">
        <is>
          <t>Shipped</t>
        </is>
      </c>
      <c r="M210" t="inlineStr">
        <is>
          <t>PAY05</t>
        </is>
      </c>
      <c r="N210" t="inlineStr">
        <is>
          <t>Afternoon</t>
        </is>
      </c>
      <c r="O210">
        <f>INDEX(Products_Catalog!$B$2:$B$151, MATCH(C210, Products_Catalog!$A$2:$A$151, 0))</f>
        <v/>
      </c>
      <c r="P210" s="13">
        <f>INDEX(Products_Catalog!$D$2:$D$151, MATCH(C210, Products_Catalog!$A$2:$A$151, 0))</f>
        <v/>
      </c>
      <c r="Q210" s="13">
        <f>I210-J210</f>
        <v/>
      </c>
      <c r="R210" s="15">
        <f>IF(K210&gt;20, "BREACH", "OK")</f>
        <v/>
      </c>
    </row>
    <row r="211">
      <c r="A211" t="inlineStr">
        <is>
          <t>ORD01146</t>
        </is>
      </c>
      <c r="B211" t="inlineStr">
        <is>
          <t>CUST0038</t>
        </is>
      </c>
      <c r="C211" t="inlineStr">
        <is>
          <t>PROD043</t>
        </is>
      </c>
      <c r="D211" t="inlineStr">
        <is>
          <t>STORE029</t>
        </is>
      </c>
      <c r="E211" t="inlineStr">
        <is>
          <t>DP002</t>
        </is>
      </c>
      <c r="F211" t="inlineStr">
        <is>
          <t>2024-06-25 11:48:00</t>
        </is>
      </c>
      <c r="G211" t="inlineStr">
        <is>
          <t>2024-06-25 12:08:00</t>
        </is>
      </c>
      <c r="H211" s="14" t="n">
        <v>7</v>
      </c>
      <c r="I211" s="13" t="n">
        <v>3164.56</v>
      </c>
      <c r="J211" s="13" t="n">
        <v>551.74</v>
      </c>
      <c r="K211" s="16" t="n">
        <v>20</v>
      </c>
      <c r="L211" t="inlineStr">
        <is>
          <t>Delivered</t>
        </is>
      </c>
      <c r="M211" t="inlineStr">
        <is>
          <t>PAY05</t>
        </is>
      </c>
      <c r="N211" t="inlineStr">
        <is>
          <t>Morning</t>
        </is>
      </c>
      <c r="O211">
        <f>INDEX(Products_Catalog!$B$2:$B$151, MATCH(C211, Products_Catalog!$A$2:$A$151, 0))</f>
        <v/>
      </c>
      <c r="P211" s="13">
        <f>INDEX(Products_Catalog!$D$2:$D$151, MATCH(C211, Products_Catalog!$A$2:$A$151, 0))</f>
        <v/>
      </c>
      <c r="Q211" s="13">
        <f>I211-J211</f>
        <v/>
      </c>
      <c r="R211" s="15">
        <f>IF(K211&gt;20, "BREACH", "OK")</f>
        <v/>
      </c>
    </row>
    <row r="212">
      <c r="A212" t="inlineStr">
        <is>
          <t>ORD01147</t>
        </is>
      </c>
      <c r="B212" t="inlineStr">
        <is>
          <t>CUST0038</t>
        </is>
      </c>
      <c r="C212" t="inlineStr">
        <is>
          <t>PROD150</t>
        </is>
      </c>
      <c r="D212" t="inlineStr">
        <is>
          <t>STORE022</t>
        </is>
      </c>
      <c r="E212" t="inlineStr">
        <is>
          <t>DP047</t>
        </is>
      </c>
      <c r="F212" t="inlineStr">
        <is>
          <t>2024-11-18 12:58:00</t>
        </is>
      </c>
      <c r="G212" t="inlineStr">
        <is>
          <t>2024-11-18 13:19:00</t>
        </is>
      </c>
      <c r="H212" s="14" t="n">
        <v>5</v>
      </c>
      <c r="I212" s="13" t="n">
        <v>1916.45</v>
      </c>
      <c r="J212" s="13" t="n">
        <v>324.96</v>
      </c>
      <c r="K212" s="16" t="n">
        <v>21</v>
      </c>
      <c r="L212" t="inlineStr">
        <is>
          <t>Delivered</t>
        </is>
      </c>
      <c r="M212" t="inlineStr">
        <is>
          <t>PAY02</t>
        </is>
      </c>
      <c r="N212" t="inlineStr">
        <is>
          <t>Afternoon</t>
        </is>
      </c>
      <c r="O212">
        <f>INDEX(Products_Catalog!$B$2:$B$151, MATCH(C212, Products_Catalog!$A$2:$A$151, 0))</f>
        <v/>
      </c>
      <c r="P212" s="13">
        <f>INDEX(Products_Catalog!$D$2:$D$151, MATCH(C212, Products_Catalog!$A$2:$A$151, 0))</f>
        <v/>
      </c>
      <c r="Q212" s="13">
        <f>I212-J212</f>
        <v/>
      </c>
      <c r="R212" s="15">
        <f>IF(K212&gt;20, "BREACH", "OK")</f>
        <v/>
      </c>
    </row>
    <row r="213">
      <c r="A213" t="inlineStr">
        <is>
          <t>ORD01148</t>
        </is>
      </c>
      <c r="B213" t="inlineStr">
        <is>
          <t>CUST0036</t>
        </is>
      </c>
      <c r="C213" t="inlineStr">
        <is>
          <t>PROD052</t>
        </is>
      </c>
      <c r="D213" t="inlineStr">
        <is>
          <t>STORE041</t>
        </is>
      </c>
      <c r="E213" t="inlineStr">
        <is>
          <t>DP019</t>
        </is>
      </c>
      <c r="F213" t="inlineStr">
        <is>
          <t>2024-04-13 11:57:00</t>
        </is>
      </c>
      <c r="G213" t="inlineStr">
        <is>
          <t>2024-04-13 12:19:00</t>
        </is>
      </c>
      <c r="H213" s="14" t="n">
        <v>10</v>
      </c>
      <c r="I213" s="13" t="n">
        <v>1916.9</v>
      </c>
      <c r="J213" s="13" t="n">
        <v>347.62</v>
      </c>
      <c r="K213" s="16" t="n">
        <v>22</v>
      </c>
      <c r="L213" t="inlineStr">
        <is>
          <t>Delivered</t>
        </is>
      </c>
      <c r="M213" t="inlineStr">
        <is>
          <t>PAY02</t>
        </is>
      </c>
      <c r="N213" t="inlineStr">
        <is>
          <t>Morning</t>
        </is>
      </c>
      <c r="O213">
        <f>INDEX(Products_Catalog!$B$2:$B$151, MATCH(C213, Products_Catalog!$A$2:$A$151, 0))</f>
        <v/>
      </c>
      <c r="P213" s="13">
        <f>INDEX(Products_Catalog!$D$2:$D$151, MATCH(C213, Products_Catalog!$A$2:$A$151, 0))</f>
        <v/>
      </c>
      <c r="Q213" s="13">
        <f>I213-J213</f>
        <v/>
      </c>
      <c r="R213" s="15">
        <f>IF(K213&gt;20, "BREACH", "OK")</f>
        <v/>
      </c>
    </row>
    <row r="214">
      <c r="A214" t="inlineStr">
        <is>
          <t>ORD01150</t>
        </is>
      </c>
      <c r="B214" t="inlineStr">
        <is>
          <t>CUST0026</t>
        </is>
      </c>
      <c r="C214" t="inlineStr">
        <is>
          <t>PROD087</t>
        </is>
      </c>
      <c r="D214" t="inlineStr">
        <is>
          <t>STORE024</t>
        </is>
      </c>
      <c r="E214" t="inlineStr">
        <is>
          <t>DP015</t>
        </is>
      </c>
      <c r="F214" t="inlineStr">
        <is>
          <t>2024-12-18 19:16:00</t>
        </is>
      </c>
      <c r="G214" t="inlineStr">
        <is>
          <t>2024-12-18 19:42:00</t>
        </is>
      </c>
      <c r="H214" s="14" t="n">
        <v>1</v>
      </c>
      <c r="I214" s="13" t="n">
        <v>112.77</v>
      </c>
      <c r="J214" s="13" t="n">
        <v>23.22</v>
      </c>
      <c r="K214" s="16" t="n">
        <v>26</v>
      </c>
      <c r="L214" t="inlineStr">
        <is>
          <t>Pending</t>
        </is>
      </c>
      <c r="M214" t="inlineStr">
        <is>
          <t>PAY01</t>
        </is>
      </c>
      <c r="N214" t="inlineStr">
        <is>
          <t>Evening</t>
        </is>
      </c>
      <c r="O214">
        <f>INDEX(Products_Catalog!$B$2:$B$151, MATCH(C214, Products_Catalog!$A$2:$A$151, 0))</f>
        <v/>
      </c>
      <c r="P214" s="13">
        <f>INDEX(Products_Catalog!$D$2:$D$151, MATCH(C214, Products_Catalog!$A$2:$A$151, 0))</f>
        <v/>
      </c>
      <c r="Q214" s="13">
        <f>I214-J214</f>
        <v/>
      </c>
      <c r="R214" s="15">
        <f>IF(K214&gt;20, "BREACH", "OK")</f>
        <v/>
      </c>
    </row>
    <row r="215">
      <c r="A215" t="inlineStr">
        <is>
          <t>ORD01151</t>
        </is>
      </c>
      <c r="B215" t="inlineStr">
        <is>
          <t>CUST0004</t>
        </is>
      </c>
      <c r="C215" t="inlineStr">
        <is>
          <t>PROD090</t>
        </is>
      </c>
      <c r="D215" t="inlineStr">
        <is>
          <t>STORE002</t>
        </is>
      </c>
      <c r="E215" t="inlineStr">
        <is>
          <t>DP027</t>
        </is>
      </c>
      <c r="F215" t="inlineStr">
        <is>
          <t>2025-02-20 16:24:00</t>
        </is>
      </c>
      <c r="G215" t="inlineStr">
        <is>
          <t>2025-02-20 16:51:00</t>
        </is>
      </c>
      <c r="H215" s="14" t="n">
        <v>7</v>
      </c>
      <c r="I215" s="13" t="n">
        <v>1326.71</v>
      </c>
      <c r="J215" s="13" t="n">
        <v>206.83</v>
      </c>
      <c r="K215" s="16" t="n">
        <v>27</v>
      </c>
      <c r="L215" t="inlineStr">
        <is>
          <t>Returned</t>
        </is>
      </c>
      <c r="M215" t="inlineStr">
        <is>
          <t>PAY01</t>
        </is>
      </c>
      <c r="N215" t="inlineStr">
        <is>
          <t>Afternoon</t>
        </is>
      </c>
      <c r="O215">
        <f>INDEX(Products_Catalog!$B$2:$B$151, MATCH(C215, Products_Catalog!$A$2:$A$151, 0))</f>
        <v/>
      </c>
      <c r="P215" s="13">
        <f>INDEX(Products_Catalog!$D$2:$D$151, MATCH(C215, Products_Catalog!$A$2:$A$151, 0))</f>
        <v/>
      </c>
      <c r="Q215" s="13">
        <f>I215-J215</f>
        <v/>
      </c>
      <c r="R215" s="15">
        <f>IF(K215&gt;20, "BREACH", "OK")</f>
        <v/>
      </c>
    </row>
    <row r="216">
      <c r="A216" t="inlineStr">
        <is>
          <t>ORD01152</t>
        </is>
      </c>
      <c r="B216" t="inlineStr">
        <is>
          <t>CUST0014</t>
        </is>
      </c>
      <c r="C216" t="inlineStr">
        <is>
          <t>PROD142</t>
        </is>
      </c>
      <c r="D216" t="inlineStr">
        <is>
          <t>STORE045</t>
        </is>
      </c>
      <c r="E216" t="inlineStr">
        <is>
          <t>DP029</t>
        </is>
      </c>
      <c r="F216" t="inlineStr">
        <is>
          <t>2025-05-18 17:16:00</t>
        </is>
      </c>
      <c r="G216" t="inlineStr">
        <is>
          <t>2025-05-18 17:44:00</t>
        </is>
      </c>
      <c r="H216" s="14" t="n">
        <v>3</v>
      </c>
      <c r="I216" s="13" t="n">
        <v>308.85</v>
      </c>
      <c r="J216" s="13" t="n">
        <v>77.45</v>
      </c>
      <c r="K216" s="16" t="n">
        <v>28</v>
      </c>
      <c r="L216" t="inlineStr">
        <is>
          <t>Shipped</t>
        </is>
      </c>
      <c r="M216" t="inlineStr">
        <is>
          <t>PAY04</t>
        </is>
      </c>
      <c r="N216" t="inlineStr">
        <is>
          <t>Evening</t>
        </is>
      </c>
      <c r="O216">
        <f>INDEX(Products_Catalog!$B$2:$B$151, MATCH(C216, Products_Catalog!$A$2:$A$151, 0))</f>
        <v/>
      </c>
      <c r="P216" s="13">
        <f>INDEX(Products_Catalog!$D$2:$D$151, MATCH(C216, Products_Catalog!$A$2:$A$151, 0))</f>
        <v/>
      </c>
      <c r="Q216" s="13">
        <f>I216-J216</f>
        <v/>
      </c>
      <c r="R216" s="15">
        <f>IF(K216&gt;20, "BREACH", "OK")</f>
        <v/>
      </c>
    </row>
    <row r="217">
      <c r="A217" t="inlineStr">
        <is>
          <t>ORD01153</t>
        </is>
      </c>
      <c r="B217" t="inlineStr">
        <is>
          <t>CUST0047</t>
        </is>
      </c>
      <c r="C217" t="inlineStr">
        <is>
          <t>PROD100</t>
        </is>
      </c>
      <c r="D217" t="inlineStr">
        <is>
          <t>STORE029</t>
        </is>
      </c>
      <c r="E217" t="inlineStr">
        <is>
          <t>DP030</t>
        </is>
      </c>
      <c r="F217" t="inlineStr">
        <is>
          <t>2025-01-25 09:57:00</t>
        </is>
      </c>
      <c r="G217" t="inlineStr">
        <is>
          <t>2025-01-25 10:26:00</t>
        </is>
      </c>
      <c r="H217" s="14" t="n">
        <v>1</v>
      </c>
      <c r="I217" s="13" t="n">
        <v>243.8</v>
      </c>
      <c r="J217" s="13" t="n">
        <v>34.41</v>
      </c>
      <c r="K217" s="16" t="n">
        <v>29</v>
      </c>
      <c r="L217" t="inlineStr">
        <is>
          <t>Cancelled</t>
        </is>
      </c>
      <c r="M217" t="inlineStr">
        <is>
          <t>PAY04</t>
        </is>
      </c>
      <c r="N217" t="inlineStr">
        <is>
          <t>Morning</t>
        </is>
      </c>
      <c r="O217">
        <f>INDEX(Products_Catalog!$B$2:$B$151, MATCH(C217, Products_Catalog!$A$2:$A$151, 0))</f>
        <v/>
      </c>
      <c r="P217" s="13">
        <f>INDEX(Products_Catalog!$D$2:$D$151, MATCH(C217, Products_Catalog!$A$2:$A$151, 0))</f>
        <v/>
      </c>
      <c r="Q217" s="13">
        <f>I217-J217</f>
        <v/>
      </c>
      <c r="R217" s="15">
        <f>IF(K217&gt;20, "BREACH", "OK")</f>
        <v/>
      </c>
    </row>
    <row r="218">
      <c r="A218" t="inlineStr">
        <is>
          <t>ORD01154</t>
        </is>
      </c>
      <c r="B218" t="inlineStr">
        <is>
          <t>CUST0035</t>
        </is>
      </c>
      <c r="C218" t="inlineStr">
        <is>
          <t>PROD003</t>
        </is>
      </c>
      <c r="D218" t="inlineStr">
        <is>
          <t>STORE043</t>
        </is>
      </c>
      <c r="E218" t="inlineStr">
        <is>
          <t>DP005</t>
        </is>
      </c>
      <c r="F218" t="inlineStr">
        <is>
          <t>2025-02-15 15:40:00</t>
        </is>
      </c>
      <c r="G218" t="inlineStr">
        <is>
          <t>2025-02-15 16:10:00</t>
        </is>
      </c>
      <c r="H218" s="14" t="n">
        <v>7</v>
      </c>
      <c r="I218" s="13" t="n">
        <v>1917.58</v>
      </c>
      <c r="J218" s="13" t="n">
        <v>202.23</v>
      </c>
      <c r="K218" s="16" t="n">
        <v>30</v>
      </c>
      <c r="L218" t="inlineStr">
        <is>
          <t>Delivered</t>
        </is>
      </c>
      <c r="M218" t="inlineStr">
        <is>
          <t>PAY03</t>
        </is>
      </c>
      <c r="N218" t="inlineStr">
        <is>
          <t>Afternoon</t>
        </is>
      </c>
      <c r="O218">
        <f>INDEX(Products_Catalog!$B$2:$B$151, MATCH(C218, Products_Catalog!$A$2:$A$151, 0))</f>
        <v/>
      </c>
      <c r="P218" s="13">
        <f>INDEX(Products_Catalog!$D$2:$D$151, MATCH(C218, Products_Catalog!$A$2:$A$151, 0))</f>
        <v/>
      </c>
      <c r="Q218" s="13">
        <f>I218-J218</f>
        <v/>
      </c>
      <c r="R218" s="15">
        <f>IF(K218&gt;20, "BREACH", "OK")</f>
        <v/>
      </c>
    </row>
    <row r="219">
      <c r="A219" t="inlineStr">
        <is>
          <t>ORD01156</t>
        </is>
      </c>
      <c r="B219" t="inlineStr">
        <is>
          <t>CUST0036</t>
        </is>
      </c>
      <c r="C219" t="inlineStr">
        <is>
          <t>PROD005</t>
        </is>
      </c>
      <c r="D219" t="inlineStr">
        <is>
          <t>STORE027</t>
        </is>
      </c>
      <c r="E219" t="inlineStr">
        <is>
          <t>DP035</t>
        </is>
      </c>
      <c r="F219" t="inlineStr">
        <is>
          <t>2024-03-03 12:16:00</t>
        </is>
      </c>
      <c r="G219" t="inlineStr">
        <is>
          <t>2024-03-03 12:27:00</t>
        </is>
      </c>
      <c r="H219" s="14" t="n">
        <v>7</v>
      </c>
      <c r="I219" s="13" t="n">
        <v>2818.06</v>
      </c>
      <c r="J219" s="13" t="n">
        <v>709.76</v>
      </c>
      <c r="K219" s="16" t="n">
        <v>11</v>
      </c>
      <c r="L219" t="inlineStr">
        <is>
          <t>Cancelled</t>
        </is>
      </c>
      <c r="M219" t="inlineStr">
        <is>
          <t>PAY01</t>
        </is>
      </c>
      <c r="N219" t="inlineStr">
        <is>
          <t>Afternoon</t>
        </is>
      </c>
      <c r="O219">
        <f>INDEX(Products_Catalog!$B$2:$B$151, MATCH(C219, Products_Catalog!$A$2:$A$151, 0))</f>
        <v/>
      </c>
      <c r="P219" s="13">
        <f>INDEX(Products_Catalog!$D$2:$D$151, MATCH(C219, Products_Catalog!$A$2:$A$151, 0))</f>
        <v/>
      </c>
      <c r="Q219" s="13">
        <f>I219-J219</f>
        <v/>
      </c>
      <c r="R219" s="15">
        <f>IF(K219&gt;20, "BREACH", "OK")</f>
        <v/>
      </c>
    </row>
    <row r="220">
      <c r="A220" t="inlineStr">
        <is>
          <t>ORD01157</t>
        </is>
      </c>
      <c r="B220" t="inlineStr">
        <is>
          <t>CUST0016</t>
        </is>
      </c>
      <c r="C220" t="inlineStr">
        <is>
          <t>PROD084</t>
        </is>
      </c>
      <c r="D220" t="inlineStr">
        <is>
          <t>STORE029</t>
        </is>
      </c>
      <c r="E220" t="inlineStr">
        <is>
          <t>DP038</t>
        </is>
      </c>
      <c r="F220" t="inlineStr">
        <is>
          <t>2024-07-26 16:15:00</t>
        </is>
      </c>
      <c r="G220" t="inlineStr">
        <is>
          <t>2024-07-26 16:27:00</t>
        </is>
      </c>
      <c r="H220" s="14" t="n">
        <v>3</v>
      </c>
      <c r="I220" s="13" t="n">
        <v>1026.81</v>
      </c>
      <c r="J220" s="13" t="n">
        <v>64.43000000000001</v>
      </c>
      <c r="K220" s="16" t="n">
        <v>12</v>
      </c>
      <c r="L220" t="inlineStr">
        <is>
          <t>Returned</t>
        </is>
      </c>
      <c r="M220" t="inlineStr">
        <is>
          <t>PAY01</t>
        </is>
      </c>
      <c r="N220" t="inlineStr">
        <is>
          <t>Afternoon</t>
        </is>
      </c>
      <c r="O220">
        <f>INDEX(Products_Catalog!$B$2:$B$151, MATCH(C220, Products_Catalog!$A$2:$A$151, 0))</f>
        <v/>
      </c>
      <c r="P220" s="13">
        <f>INDEX(Products_Catalog!$D$2:$D$151, MATCH(C220, Products_Catalog!$A$2:$A$151, 0))</f>
        <v/>
      </c>
      <c r="Q220" s="13">
        <f>I220-J220</f>
        <v/>
      </c>
      <c r="R220" s="15">
        <f>IF(K220&gt;20, "BREACH", "OK")</f>
        <v/>
      </c>
    </row>
    <row r="221">
      <c r="A221" t="inlineStr">
        <is>
          <t>ORD01159</t>
        </is>
      </c>
      <c r="B221" t="inlineStr">
        <is>
          <t>CUST0034</t>
        </is>
      </c>
      <c r="C221" t="inlineStr">
        <is>
          <t>PROD081</t>
        </is>
      </c>
      <c r="D221" t="inlineStr">
        <is>
          <t>STORE031</t>
        </is>
      </c>
      <c r="E221" t="inlineStr">
        <is>
          <t>DP012</t>
        </is>
      </c>
      <c r="F221" t="inlineStr">
        <is>
          <t>2024-06-21 18:06:00</t>
        </is>
      </c>
      <c r="G221" t="inlineStr">
        <is>
          <t>2024-06-21 18:20:00</t>
        </is>
      </c>
      <c r="H221" s="14" t="n">
        <v>6</v>
      </c>
      <c r="I221" s="13" t="n">
        <v>1635.3</v>
      </c>
      <c r="J221" s="13" t="n">
        <v>105.78</v>
      </c>
      <c r="K221" s="16" t="n">
        <v>14</v>
      </c>
      <c r="L221" t="inlineStr">
        <is>
          <t>Returned</t>
        </is>
      </c>
      <c r="M221" t="inlineStr">
        <is>
          <t>PAY02</t>
        </is>
      </c>
      <c r="N221" t="inlineStr">
        <is>
          <t>Evening</t>
        </is>
      </c>
      <c r="O221">
        <f>INDEX(Products_Catalog!$B$2:$B$151, MATCH(C221, Products_Catalog!$A$2:$A$151, 0))</f>
        <v/>
      </c>
      <c r="P221" s="13">
        <f>INDEX(Products_Catalog!$D$2:$D$151, MATCH(C221, Products_Catalog!$A$2:$A$151, 0))</f>
        <v/>
      </c>
      <c r="Q221" s="13">
        <f>I221-J221</f>
        <v/>
      </c>
      <c r="R221" s="15">
        <f>IF(K221&gt;20, "BREACH", "OK")</f>
        <v/>
      </c>
    </row>
    <row r="222">
      <c r="A222" t="inlineStr">
        <is>
          <t>ORD01160</t>
        </is>
      </c>
      <c r="B222" t="inlineStr">
        <is>
          <t>CUST0045</t>
        </is>
      </c>
      <c r="C222" t="inlineStr">
        <is>
          <t>PROD076</t>
        </is>
      </c>
      <c r="D222" t="inlineStr">
        <is>
          <t>STORE011</t>
        </is>
      </c>
      <c r="E222" t="inlineStr">
        <is>
          <t>DP043</t>
        </is>
      </c>
      <c r="F222" t="inlineStr">
        <is>
          <t>2024-03-14 11:15:00</t>
        </is>
      </c>
      <c r="G222" t="inlineStr">
        <is>
          <t>2024-03-14 11:30:00</t>
        </is>
      </c>
      <c r="H222" s="14" t="n">
        <v>7</v>
      </c>
      <c r="I222" s="13" t="n">
        <v>1686.16</v>
      </c>
      <c r="J222" s="13" t="n">
        <v>111</v>
      </c>
      <c r="K222" s="16" t="n">
        <v>15</v>
      </c>
      <c r="L222" t="inlineStr">
        <is>
          <t>Delivered</t>
        </is>
      </c>
      <c r="M222" t="inlineStr">
        <is>
          <t>PAY05</t>
        </is>
      </c>
      <c r="N222" t="inlineStr">
        <is>
          <t>Morning</t>
        </is>
      </c>
      <c r="O222">
        <f>INDEX(Products_Catalog!$B$2:$B$151, MATCH(C222, Products_Catalog!$A$2:$A$151, 0))</f>
        <v/>
      </c>
      <c r="P222" s="13">
        <f>INDEX(Products_Catalog!$D$2:$D$151, MATCH(C222, Products_Catalog!$A$2:$A$151, 0))</f>
        <v/>
      </c>
      <c r="Q222" s="13">
        <f>I222-J222</f>
        <v/>
      </c>
      <c r="R222" s="15">
        <f>IF(K222&gt;20, "BREACH", "OK")</f>
        <v/>
      </c>
    </row>
    <row r="223">
      <c r="A223" t="inlineStr">
        <is>
          <t>ORD01161</t>
        </is>
      </c>
      <c r="B223" t="inlineStr">
        <is>
          <t>CUST0041</t>
        </is>
      </c>
      <c r="C223" t="inlineStr">
        <is>
          <t>PROD099</t>
        </is>
      </c>
      <c r="D223" t="inlineStr">
        <is>
          <t>STORE045</t>
        </is>
      </c>
      <c r="E223" t="inlineStr">
        <is>
          <t>DP027</t>
        </is>
      </c>
      <c r="F223" t="inlineStr">
        <is>
          <t>2025-03-22 07:45:00</t>
        </is>
      </c>
      <c r="G223" t="inlineStr">
        <is>
          <t>2025-03-22 08:01:00</t>
        </is>
      </c>
      <c r="H223" s="14" t="n">
        <v>3</v>
      </c>
      <c r="I223" s="13" t="n">
        <v>1380.36</v>
      </c>
      <c r="J223" s="13" t="n">
        <v>228.37</v>
      </c>
      <c r="K223" s="16" t="n">
        <v>16</v>
      </c>
      <c r="L223" t="inlineStr">
        <is>
          <t>Returned</t>
        </is>
      </c>
      <c r="M223" t="inlineStr">
        <is>
          <t>PAY03</t>
        </is>
      </c>
      <c r="N223" t="inlineStr">
        <is>
          <t>Morning</t>
        </is>
      </c>
      <c r="O223">
        <f>INDEX(Products_Catalog!$B$2:$B$151, MATCH(C223, Products_Catalog!$A$2:$A$151, 0))</f>
        <v/>
      </c>
      <c r="P223" s="13">
        <f>INDEX(Products_Catalog!$D$2:$D$151, MATCH(C223, Products_Catalog!$A$2:$A$151, 0))</f>
        <v/>
      </c>
      <c r="Q223" s="13">
        <f>I223-J223</f>
        <v/>
      </c>
      <c r="R223" s="15">
        <f>IF(K223&gt;20, "BREACH", "OK")</f>
        <v/>
      </c>
    </row>
    <row r="224">
      <c r="A224" t="inlineStr">
        <is>
          <t>ORD01164</t>
        </is>
      </c>
      <c r="B224" t="inlineStr">
        <is>
          <t>CUST0026</t>
        </is>
      </c>
      <c r="C224" t="inlineStr">
        <is>
          <t>PROD118</t>
        </is>
      </c>
      <c r="D224" t="inlineStr">
        <is>
          <t>STORE035</t>
        </is>
      </c>
      <c r="E224" t="inlineStr">
        <is>
          <t>DP010</t>
        </is>
      </c>
      <c r="F224" t="inlineStr">
        <is>
          <t>2024-03-19 14:44:00</t>
        </is>
      </c>
      <c r="G224" t="inlineStr">
        <is>
          <t>2024-03-19 15:03:00</t>
        </is>
      </c>
      <c r="H224" s="14" t="n">
        <v>2</v>
      </c>
      <c r="I224" s="13" t="n">
        <v>115.74</v>
      </c>
      <c r="J224" s="13" t="n">
        <v>11.67</v>
      </c>
      <c r="K224" s="16" t="n">
        <v>19</v>
      </c>
      <c r="L224" t="inlineStr">
        <is>
          <t>Returned</t>
        </is>
      </c>
      <c r="M224" t="inlineStr">
        <is>
          <t>PAY04</t>
        </is>
      </c>
      <c r="N224" t="inlineStr">
        <is>
          <t>Afternoon</t>
        </is>
      </c>
      <c r="O224">
        <f>INDEX(Products_Catalog!$B$2:$B$151, MATCH(C224, Products_Catalog!$A$2:$A$151, 0))</f>
        <v/>
      </c>
      <c r="P224" s="13">
        <f>INDEX(Products_Catalog!$D$2:$D$151, MATCH(C224, Products_Catalog!$A$2:$A$151, 0))</f>
        <v/>
      </c>
      <c r="Q224" s="13">
        <f>I224-J224</f>
        <v/>
      </c>
      <c r="R224" s="15">
        <f>IF(K224&gt;20, "BREACH", "OK")</f>
        <v/>
      </c>
    </row>
    <row r="225">
      <c r="A225" t="inlineStr">
        <is>
          <t>ORD01165</t>
        </is>
      </c>
      <c r="B225" t="inlineStr">
        <is>
          <t>CUST0029</t>
        </is>
      </c>
      <c r="C225" t="inlineStr">
        <is>
          <t>PROD075</t>
        </is>
      </c>
      <c r="D225" t="inlineStr">
        <is>
          <t>STORE039</t>
        </is>
      </c>
      <c r="E225" t="inlineStr">
        <is>
          <t>DP013</t>
        </is>
      </c>
      <c r="F225" t="inlineStr">
        <is>
          <t>2024-01-31 10:52:00</t>
        </is>
      </c>
      <c r="G225" t="inlineStr">
        <is>
          <t>2024-01-31 11:12:00</t>
        </is>
      </c>
      <c r="H225" s="14" t="n">
        <v>6</v>
      </c>
      <c r="I225" s="13" t="n">
        <v>2682.3</v>
      </c>
      <c r="J225" s="13" t="n">
        <v>352.01</v>
      </c>
      <c r="K225" s="16" t="n">
        <v>20</v>
      </c>
      <c r="L225" t="inlineStr">
        <is>
          <t>Pending</t>
        </is>
      </c>
      <c r="M225" t="inlineStr">
        <is>
          <t>PAY02</t>
        </is>
      </c>
      <c r="N225" t="inlineStr">
        <is>
          <t>Morning</t>
        </is>
      </c>
      <c r="O225">
        <f>INDEX(Products_Catalog!$B$2:$B$151, MATCH(C225, Products_Catalog!$A$2:$A$151, 0))</f>
        <v/>
      </c>
      <c r="P225" s="13">
        <f>INDEX(Products_Catalog!$D$2:$D$151, MATCH(C225, Products_Catalog!$A$2:$A$151, 0))</f>
        <v/>
      </c>
      <c r="Q225" s="13">
        <f>I225-J225</f>
        <v/>
      </c>
      <c r="R225" s="15">
        <f>IF(K225&gt;20, "BREACH", "OK")</f>
        <v/>
      </c>
    </row>
    <row r="226">
      <c r="A226" t="inlineStr">
        <is>
          <t>ORD01166</t>
        </is>
      </c>
      <c r="B226" t="inlineStr">
        <is>
          <t>CUST0050</t>
        </is>
      </c>
      <c r="C226" t="inlineStr">
        <is>
          <t>PROD046</t>
        </is>
      </c>
      <c r="D226" t="inlineStr">
        <is>
          <t>STORE032</t>
        </is>
      </c>
      <c r="E226" t="inlineStr">
        <is>
          <t>DP041</t>
        </is>
      </c>
      <c r="F226" t="inlineStr">
        <is>
          <t>2024-03-06 10:12:00</t>
        </is>
      </c>
      <c r="G226" t="inlineStr">
        <is>
          <t>2024-03-06 10:33:00</t>
        </is>
      </c>
      <c r="H226" s="14" t="n">
        <v>2</v>
      </c>
      <c r="I226" s="13" t="n">
        <v>195.28</v>
      </c>
      <c r="J226" s="13" t="n">
        <v>30.97</v>
      </c>
      <c r="K226" s="16" t="n">
        <v>21</v>
      </c>
      <c r="L226" t="inlineStr">
        <is>
          <t>Shipped</t>
        </is>
      </c>
      <c r="M226" t="inlineStr">
        <is>
          <t>PAY02</t>
        </is>
      </c>
      <c r="N226" t="inlineStr">
        <is>
          <t>Morning</t>
        </is>
      </c>
      <c r="O226">
        <f>INDEX(Products_Catalog!$B$2:$B$151, MATCH(C226, Products_Catalog!$A$2:$A$151, 0))</f>
        <v/>
      </c>
      <c r="P226" s="13">
        <f>INDEX(Products_Catalog!$D$2:$D$151, MATCH(C226, Products_Catalog!$A$2:$A$151, 0))</f>
        <v/>
      </c>
      <c r="Q226" s="13">
        <f>I226-J226</f>
        <v/>
      </c>
      <c r="R226" s="15">
        <f>IF(K226&gt;20, "BREACH", "OK")</f>
        <v/>
      </c>
    </row>
    <row r="227">
      <c r="A227" t="inlineStr">
        <is>
          <t>ORD01167</t>
        </is>
      </c>
      <c r="B227" t="inlineStr">
        <is>
          <t>CUST0030</t>
        </is>
      </c>
      <c r="C227" t="inlineStr">
        <is>
          <t>PROD047</t>
        </is>
      </c>
      <c r="D227" t="inlineStr">
        <is>
          <t>STORE004</t>
        </is>
      </c>
      <c r="E227" t="inlineStr">
        <is>
          <t>DP019</t>
        </is>
      </c>
      <c r="F227" t="inlineStr">
        <is>
          <t>2024-07-09 18:02:00</t>
        </is>
      </c>
      <c r="G227" t="inlineStr">
        <is>
          <t>2024-07-09 18:24:00</t>
        </is>
      </c>
      <c r="H227" s="14" t="n">
        <v>9</v>
      </c>
      <c r="I227" s="13" t="n">
        <v>2053.35</v>
      </c>
      <c r="J227" s="13" t="n">
        <v>590.25</v>
      </c>
      <c r="K227" s="16" t="n">
        <v>22</v>
      </c>
      <c r="L227" t="inlineStr">
        <is>
          <t>Delivered</t>
        </is>
      </c>
      <c r="M227" t="inlineStr">
        <is>
          <t>PAY01</t>
        </is>
      </c>
      <c r="N227" t="inlineStr">
        <is>
          <t>Evening</t>
        </is>
      </c>
      <c r="O227">
        <f>INDEX(Products_Catalog!$B$2:$B$151, MATCH(C227, Products_Catalog!$A$2:$A$151, 0))</f>
        <v/>
      </c>
      <c r="P227" s="13">
        <f>INDEX(Products_Catalog!$D$2:$D$151, MATCH(C227, Products_Catalog!$A$2:$A$151, 0))</f>
        <v/>
      </c>
      <c r="Q227" s="13">
        <f>I227-J227</f>
        <v/>
      </c>
      <c r="R227" s="15">
        <f>IF(K227&gt;20, "BREACH", "OK")</f>
        <v/>
      </c>
    </row>
    <row r="228">
      <c r="A228" t="inlineStr">
        <is>
          <t>ORD01169</t>
        </is>
      </c>
      <c r="B228" t="inlineStr">
        <is>
          <t>CUST0046</t>
        </is>
      </c>
      <c r="C228" t="inlineStr">
        <is>
          <t>PROD037</t>
        </is>
      </c>
      <c r="D228" t="inlineStr">
        <is>
          <t>STORE029</t>
        </is>
      </c>
      <c r="E228" t="inlineStr">
        <is>
          <t>DP022</t>
        </is>
      </c>
      <c r="F228" t="inlineStr">
        <is>
          <t>2024-12-10 12:43:00</t>
        </is>
      </c>
      <c r="G228" t="inlineStr">
        <is>
          <t>2024-12-10 13:07:00</t>
        </is>
      </c>
      <c r="H228" s="14" t="n">
        <v>1</v>
      </c>
      <c r="I228" s="13" t="n">
        <v>121.42</v>
      </c>
      <c r="J228" s="13" t="n">
        <v>3.64</v>
      </c>
      <c r="K228" s="16" t="n">
        <v>24</v>
      </c>
      <c r="L228" t="inlineStr">
        <is>
          <t>Pending</t>
        </is>
      </c>
      <c r="M228" t="inlineStr">
        <is>
          <t>PAY04</t>
        </is>
      </c>
      <c r="N228" t="inlineStr">
        <is>
          <t>Afternoon</t>
        </is>
      </c>
      <c r="O228">
        <f>INDEX(Products_Catalog!$B$2:$B$151, MATCH(C228, Products_Catalog!$A$2:$A$151, 0))</f>
        <v/>
      </c>
      <c r="P228" s="13">
        <f>INDEX(Products_Catalog!$D$2:$D$151, MATCH(C228, Products_Catalog!$A$2:$A$151, 0))</f>
        <v/>
      </c>
      <c r="Q228" s="13">
        <f>I228-J228</f>
        <v/>
      </c>
      <c r="R228" s="15">
        <f>IF(K228&gt;20, "BREACH", "OK")</f>
        <v/>
      </c>
    </row>
    <row r="229">
      <c r="A229" t="inlineStr">
        <is>
          <t>ORD01170</t>
        </is>
      </c>
      <c r="B229" t="inlineStr">
        <is>
          <t>CUST0008</t>
        </is>
      </c>
      <c r="C229" t="inlineStr">
        <is>
          <t>PROD142</t>
        </is>
      </c>
      <c r="D229" t="inlineStr">
        <is>
          <t>STORE011</t>
        </is>
      </c>
      <c r="E229" t="inlineStr">
        <is>
          <t>DP012</t>
        </is>
      </c>
      <c r="F229" t="inlineStr">
        <is>
          <t>2024-10-23 15:03:00</t>
        </is>
      </c>
      <c r="G229" t="inlineStr">
        <is>
          <t>2024-10-23 15:28:00</t>
        </is>
      </c>
      <c r="H229" s="14" t="n">
        <v>10</v>
      </c>
      <c r="I229" s="13" t="n">
        <v>1149.9</v>
      </c>
      <c r="J229" s="13" t="n">
        <v>127.96</v>
      </c>
      <c r="K229" s="16" t="n">
        <v>25</v>
      </c>
      <c r="L229" t="inlineStr">
        <is>
          <t>Cancelled</t>
        </is>
      </c>
      <c r="M229" t="inlineStr">
        <is>
          <t>PAY02</t>
        </is>
      </c>
      <c r="N229" t="inlineStr">
        <is>
          <t>Afternoon</t>
        </is>
      </c>
      <c r="O229">
        <f>INDEX(Products_Catalog!$B$2:$B$151, MATCH(C229, Products_Catalog!$A$2:$A$151, 0))</f>
        <v/>
      </c>
      <c r="P229" s="13">
        <f>INDEX(Products_Catalog!$D$2:$D$151, MATCH(C229, Products_Catalog!$A$2:$A$151, 0))</f>
        <v/>
      </c>
      <c r="Q229" s="13">
        <f>I229-J229</f>
        <v/>
      </c>
      <c r="R229" s="15">
        <f>IF(K229&gt;20, "BREACH", "OK")</f>
        <v/>
      </c>
    </row>
    <row r="230">
      <c r="A230" t="inlineStr">
        <is>
          <t>ORD01172</t>
        </is>
      </c>
      <c r="B230" t="inlineStr">
        <is>
          <t>CUST0003</t>
        </is>
      </c>
      <c r="C230" t="inlineStr">
        <is>
          <t>PROD138</t>
        </is>
      </c>
      <c r="D230" t="inlineStr">
        <is>
          <t>STORE019</t>
        </is>
      </c>
      <c r="E230" t="inlineStr">
        <is>
          <t>DP020</t>
        </is>
      </c>
      <c r="F230" t="inlineStr">
        <is>
          <t>2024-08-13 08:43:00</t>
        </is>
      </c>
      <c r="G230" t="inlineStr">
        <is>
          <t>2024-08-13 09:10:00</t>
        </is>
      </c>
      <c r="H230" s="14" t="n">
        <v>8</v>
      </c>
      <c r="I230" s="13" t="n">
        <v>2567.76</v>
      </c>
      <c r="J230" s="13" t="n">
        <v>637.61</v>
      </c>
      <c r="K230" s="16" t="n">
        <v>27</v>
      </c>
      <c r="L230" t="inlineStr">
        <is>
          <t>Cancelled</t>
        </is>
      </c>
      <c r="M230" t="inlineStr">
        <is>
          <t>PAY03</t>
        </is>
      </c>
      <c r="N230" t="inlineStr">
        <is>
          <t>Morning</t>
        </is>
      </c>
      <c r="O230">
        <f>INDEX(Products_Catalog!$B$2:$B$151, MATCH(C230, Products_Catalog!$A$2:$A$151, 0))</f>
        <v/>
      </c>
      <c r="P230" s="13">
        <f>INDEX(Products_Catalog!$D$2:$D$151, MATCH(C230, Products_Catalog!$A$2:$A$151, 0))</f>
        <v/>
      </c>
      <c r="Q230" s="13">
        <f>I230-J230</f>
        <v/>
      </c>
      <c r="R230" s="15">
        <f>IF(K230&gt;20, "BREACH", "OK")</f>
        <v/>
      </c>
    </row>
    <row r="231">
      <c r="A231" t="inlineStr">
        <is>
          <t>ORD01173</t>
        </is>
      </c>
      <c r="B231" t="inlineStr">
        <is>
          <t>CUST0015</t>
        </is>
      </c>
      <c r="C231" t="inlineStr">
        <is>
          <t>PROD146</t>
        </is>
      </c>
      <c r="D231" t="inlineStr">
        <is>
          <t>STORE009</t>
        </is>
      </c>
      <c r="E231" t="inlineStr">
        <is>
          <t>DP013</t>
        </is>
      </c>
      <c r="F231" t="inlineStr">
        <is>
          <t>2024-09-14 18:46:00</t>
        </is>
      </c>
      <c r="G231" t="inlineStr">
        <is>
          <t>2024-09-14 19:14:00</t>
        </is>
      </c>
      <c r="H231" s="14" t="n">
        <v>5</v>
      </c>
      <c r="I231" s="13" t="n">
        <v>1944.9</v>
      </c>
      <c r="J231" s="13" t="n">
        <v>190.16</v>
      </c>
      <c r="K231" s="16" t="n">
        <v>28</v>
      </c>
      <c r="L231" t="inlineStr">
        <is>
          <t>Pending</t>
        </is>
      </c>
      <c r="M231" t="inlineStr">
        <is>
          <t>PAY01</t>
        </is>
      </c>
      <c r="N231" t="inlineStr">
        <is>
          <t>Evening</t>
        </is>
      </c>
      <c r="O231">
        <f>INDEX(Products_Catalog!$B$2:$B$151, MATCH(C231, Products_Catalog!$A$2:$A$151, 0))</f>
        <v/>
      </c>
      <c r="P231" s="13">
        <f>INDEX(Products_Catalog!$D$2:$D$151, MATCH(C231, Products_Catalog!$A$2:$A$151, 0))</f>
        <v/>
      </c>
      <c r="Q231" s="13">
        <f>I231-J231</f>
        <v/>
      </c>
      <c r="R231" s="15">
        <f>IF(K231&gt;20, "BREACH", "OK")</f>
        <v/>
      </c>
    </row>
    <row r="232">
      <c r="A232" t="inlineStr">
        <is>
          <t>ORD01174</t>
        </is>
      </c>
      <c r="B232" t="inlineStr">
        <is>
          <t>CUST0004</t>
        </is>
      </c>
      <c r="C232" t="inlineStr">
        <is>
          <t>PROD145</t>
        </is>
      </c>
      <c r="D232" t="inlineStr">
        <is>
          <t>STORE026</t>
        </is>
      </c>
      <c r="E232" t="inlineStr">
        <is>
          <t>DP021</t>
        </is>
      </c>
      <c r="F232" t="inlineStr">
        <is>
          <t>2025-04-17 10:48:00</t>
        </is>
      </c>
      <c r="G232" t="inlineStr">
        <is>
          <t>2025-04-17 11:17:00</t>
        </is>
      </c>
      <c r="H232" s="14" t="n">
        <v>10</v>
      </c>
      <c r="I232" s="13" t="n">
        <v>4815.7</v>
      </c>
      <c r="J232" s="13" t="n">
        <v>893.09</v>
      </c>
      <c r="K232" s="16" t="n">
        <v>29</v>
      </c>
      <c r="L232" t="inlineStr">
        <is>
          <t>Delivered</t>
        </is>
      </c>
      <c r="M232" t="inlineStr">
        <is>
          <t>PAY03</t>
        </is>
      </c>
      <c r="N232" t="inlineStr">
        <is>
          <t>Morning</t>
        </is>
      </c>
      <c r="O232">
        <f>INDEX(Products_Catalog!$B$2:$B$151, MATCH(C232, Products_Catalog!$A$2:$A$151, 0))</f>
        <v/>
      </c>
      <c r="P232" s="13">
        <f>INDEX(Products_Catalog!$D$2:$D$151, MATCH(C232, Products_Catalog!$A$2:$A$151, 0))</f>
        <v/>
      </c>
      <c r="Q232" s="13">
        <f>I232-J232</f>
        <v/>
      </c>
      <c r="R232" s="15">
        <f>IF(K232&gt;20, "BREACH", "OK")</f>
        <v/>
      </c>
    </row>
    <row r="233">
      <c r="A233" t="inlineStr">
        <is>
          <t>ORD01175</t>
        </is>
      </c>
      <c r="B233" t="inlineStr">
        <is>
          <t>CUST0026</t>
        </is>
      </c>
      <c r="C233" t="inlineStr">
        <is>
          <t>PROD126</t>
        </is>
      </c>
      <c r="D233" t="inlineStr">
        <is>
          <t>STORE039</t>
        </is>
      </c>
      <c r="E233" t="inlineStr">
        <is>
          <t>DP012</t>
        </is>
      </c>
      <c r="F233" t="inlineStr">
        <is>
          <t>2024-12-04 11:53:00</t>
        </is>
      </c>
      <c r="G233" t="inlineStr">
        <is>
          <t>2024-12-04 12:23:00</t>
        </is>
      </c>
      <c r="H233" s="14" t="n">
        <v>3</v>
      </c>
      <c r="I233" s="13" t="n">
        <v>1081.71</v>
      </c>
      <c r="J233" s="13" t="n">
        <v>305.97</v>
      </c>
      <c r="K233" s="16" t="n">
        <v>30</v>
      </c>
      <c r="L233" t="inlineStr">
        <is>
          <t>Shipped</t>
        </is>
      </c>
      <c r="M233" t="inlineStr">
        <is>
          <t>PAY01</t>
        </is>
      </c>
      <c r="N233" t="inlineStr">
        <is>
          <t>Morning</t>
        </is>
      </c>
      <c r="O233">
        <f>INDEX(Products_Catalog!$B$2:$B$151, MATCH(C233, Products_Catalog!$A$2:$A$151, 0))</f>
        <v/>
      </c>
      <c r="P233" s="13">
        <f>INDEX(Products_Catalog!$D$2:$D$151, MATCH(C233, Products_Catalog!$A$2:$A$151, 0))</f>
        <v/>
      </c>
      <c r="Q233" s="13">
        <f>I233-J233</f>
        <v/>
      </c>
      <c r="R233" s="15">
        <f>IF(K233&gt;20, "BREACH", "OK")</f>
        <v/>
      </c>
    </row>
    <row r="234">
      <c r="A234" t="inlineStr">
        <is>
          <t>ORD01177</t>
        </is>
      </c>
      <c r="B234" t="inlineStr">
        <is>
          <t>CUST0008</t>
        </is>
      </c>
      <c r="C234" t="inlineStr">
        <is>
          <t>PROD083</t>
        </is>
      </c>
      <c r="D234" t="inlineStr">
        <is>
          <t>STORE031</t>
        </is>
      </c>
      <c r="E234" t="inlineStr">
        <is>
          <t>DP018</t>
        </is>
      </c>
      <c r="F234" t="inlineStr">
        <is>
          <t>2025-01-21 13:34:00</t>
        </is>
      </c>
      <c r="G234" t="inlineStr">
        <is>
          <t>2025-01-21 13:45:00</t>
        </is>
      </c>
      <c r="H234" s="14" t="n">
        <v>10</v>
      </c>
      <c r="I234" s="13" t="n">
        <v>2178.7</v>
      </c>
      <c r="J234" s="13" t="n">
        <v>69.15000000000001</v>
      </c>
      <c r="K234" s="16" t="n">
        <v>11</v>
      </c>
      <c r="L234" t="inlineStr">
        <is>
          <t>Delivered</t>
        </is>
      </c>
      <c r="M234" t="inlineStr">
        <is>
          <t>PAY02</t>
        </is>
      </c>
      <c r="N234" t="inlineStr">
        <is>
          <t>Afternoon</t>
        </is>
      </c>
      <c r="O234">
        <f>INDEX(Products_Catalog!$B$2:$B$151, MATCH(C234, Products_Catalog!$A$2:$A$151, 0))</f>
        <v/>
      </c>
      <c r="P234" s="13">
        <f>INDEX(Products_Catalog!$D$2:$D$151, MATCH(C234, Products_Catalog!$A$2:$A$151, 0))</f>
        <v/>
      </c>
      <c r="Q234" s="13">
        <f>I234-J234</f>
        <v/>
      </c>
      <c r="R234" s="15">
        <f>IF(K234&gt;20, "BREACH", "OK")</f>
        <v/>
      </c>
    </row>
    <row r="235">
      <c r="A235" t="inlineStr">
        <is>
          <t>ORD01178</t>
        </is>
      </c>
      <c r="B235" t="inlineStr">
        <is>
          <t>CUST0026</t>
        </is>
      </c>
      <c r="C235" t="inlineStr">
        <is>
          <t>PROD082</t>
        </is>
      </c>
      <c r="D235" t="inlineStr">
        <is>
          <t>STORE031</t>
        </is>
      </c>
      <c r="E235" t="inlineStr">
        <is>
          <t>DP045</t>
        </is>
      </c>
      <c r="F235" t="inlineStr">
        <is>
          <t>2024-08-17 13:26:00</t>
        </is>
      </c>
      <c r="G235" t="inlineStr">
        <is>
          <t>2024-08-17 13:38:00</t>
        </is>
      </c>
      <c r="H235" s="14" t="n">
        <v>6</v>
      </c>
      <c r="I235" s="13" t="n">
        <v>2444.82</v>
      </c>
      <c r="J235" s="13" t="n">
        <v>497.22</v>
      </c>
      <c r="K235" s="16" t="n">
        <v>12</v>
      </c>
      <c r="L235" t="inlineStr">
        <is>
          <t>Cancelled</t>
        </is>
      </c>
      <c r="M235" t="inlineStr">
        <is>
          <t>PAY04</t>
        </is>
      </c>
      <c r="N235" t="inlineStr">
        <is>
          <t>Afternoon</t>
        </is>
      </c>
      <c r="O235">
        <f>INDEX(Products_Catalog!$B$2:$B$151, MATCH(C235, Products_Catalog!$A$2:$A$151, 0))</f>
        <v/>
      </c>
      <c r="P235" s="13">
        <f>INDEX(Products_Catalog!$D$2:$D$151, MATCH(C235, Products_Catalog!$A$2:$A$151, 0))</f>
        <v/>
      </c>
      <c r="Q235" s="13">
        <f>I235-J235</f>
        <v/>
      </c>
      <c r="R235" s="15">
        <f>IF(K235&gt;20, "BREACH", "OK")</f>
        <v/>
      </c>
    </row>
    <row r="236">
      <c r="A236" t="inlineStr">
        <is>
          <t>ORD01179</t>
        </is>
      </c>
      <c r="B236" t="inlineStr">
        <is>
          <t>CUST0022</t>
        </is>
      </c>
      <c r="C236" t="inlineStr">
        <is>
          <t>PROD047</t>
        </is>
      </c>
      <c r="D236" t="inlineStr">
        <is>
          <t>STORE025</t>
        </is>
      </c>
      <c r="E236" t="inlineStr">
        <is>
          <t>DP011</t>
        </is>
      </c>
      <c r="F236" t="inlineStr">
        <is>
          <t>2025-06-20 14:31:00</t>
        </is>
      </c>
      <c r="G236" t="inlineStr">
        <is>
          <t>2025-06-20 14:44:00</t>
        </is>
      </c>
      <c r="H236" s="14" t="n">
        <v>5</v>
      </c>
      <c r="I236" s="13" t="n">
        <v>880.95</v>
      </c>
      <c r="J236" s="13" t="n">
        <v>107.93</v>
      </c>
      <c r="K236" s="16" t="n">
        <v>13</v>
      </c>
      <c r="L236" t="inlineStr">
        <is>
          <t>Cancelled</t>
        </is>
      </c>
      <c r="M236" t="inlineStr">
        <is>
          <t>PAY05</t>
        </is>
      </c>
      <c r="N236" t="inlineStr">
        <is>
          <t>Afternoon</t>
        </is>
      </c>
      <c r="O236">
        <f>INDEX(Products_Catalog!$B$2:$B$151, MATCH(C236, Products_Catalog!$A$2:$A$151, 0))</f>
        <v/>
      </c>
      <c r="P236" s="13">
        <f>INDEX(Products_Catalog!$D$2:$D$151, MATCH(C236, Products_Catalog!$A$2:$A$151, 0))</f>
        <v/>
      </c>
      <c r="Q236" s="13">
        <f>I236-J236</f>
        <v/>
      </c>
      <c r="R236" s="15">
        <f>IF(K236&gt;20, "BREACH", "OK")</f>
        <v/>
      </c>
    </row>
    <row r="237">
      <c r="A237" t="inlineStr">
        <is>
          <t>ORD01182</t>
        </is>
      </c>
      <c r="B237" t="inlineStr">
        <is>
          <t>CUST0004</t>
        </is>
      </c>
      <c r="C237" t="inlineStr">
        <is>
          <t>PROD112</t>
        </is>
      </c>
      <c r="D237" t="inlineStr">
        <is>
          <t>STORE008</t>
        </is>
      </c>
      <c r="E237" t="inlineStr">
        <is>
          <t>DP018</t>
        </is>
      </c>
      <c r="F237" t="inlineStr">
        <is>
          <t>2024-01-26 17:29:00</t>
        </is>
      </c>
      <c r="G237" t="inlineStr">
        <is>
          <t>2024-01-26 17:45:00</t>
        </is>
      </c>
      <c r="H237" s="14" t="n">
        <v>6</v>
      </c>
      <c r="I237" s="13" t="n">
        <v>623.76</v>
      </c>
      <c r="J237" s="13" t="n">
        <v>62.18</v>
      </c>
      <c r="K237" s="16" t="n">
        <v>16</v>
      </c>
      <c r="L237" t="inlineStr">
        <is>
          <t>Cancelled</t>
        </is>
      </c>
      <c r="M237" t="inlineStr">
        <is>
          <t>PAY03</t>
        </is>
      </c>
      <c r="N237" t="inlineStr">
        <is>
          <t>Evening</t>
        </is>
      </c>
      <c r="O237">
        <f>INDEX(Products_Catalog!$B$2:$B$151, MATCH(C237, Products_Catalog!$A$2:$A$151, 0))</f>
        <v/>
      </c>
      <c r="P237" s="13">
        <f>INDEX(Products_Catalog!$D$2:$D$151, MATCH(C237, Products_Catalog!$A$2:$A$151, 0))</f>
        <v/>
      </c>
      <c r="Q237" s="13">
        <f>I237-J237</f>
        <v/>
      </c>
      <c r="R237" s="15">
        <f>IF(K237&gt;20, "BREACH", "OK")</f>
        <v/>
      </c>
    </row>
    <row r="238">
      <c r="A238" t="inlineStr">
        <is>
          <t>ORD01183</t>
        </is>
      </c>
      <c r="B238" t="inlineStr">
        <is>
          <t>CUST0041</t>
        </is>
      </c>
      <c r="C238" t="inlineStr">
        <is>
          <t>PROD129</t>
        </is>
      </c>
      <c r="D238" t="inlineStr">
        <is>
          <t>STORE047</t>
        </is>
      </c>
      <c r="E238" t="inlineStr">
        <is>
          <t>DP025</t>
        </is>
      </c>
      <c r="F238" t="inlineStr">
        <is>
          <t>2024-07-30 08:58:00</t>
        </is>
      </c>
      <c r="G238" t="inlineStr">
        <is>
          <t>2024-07-30 09:15:00</t>
        </is>
      </c>
      <c r="H238" s="14" t="n">
        <v>6</v>
      </c>
      <c r="I238" s="13" t="n">
        <v>1463.04</v>
      </c>
      <c r="J238" s="13" t="n">
        <v>112.61</v>
      </c>
      <c r="K238" s="16" t="n">
        <v>17</v>
      </c>
      <c r="L238" t="inlineStr">
        <is>
          <t>Shipped</t>
        </is>
      </c>
      <c r="M238" t="inlineStr">
        <is>
          <t>PAY04</t>
        </is>
      </c>
      <c r="N238" t="inlineStr">
        <is>
          <t>Morning</t>
        </is>
      </c>
      <c r="O238">
        <f>INDEX(Products_Catalog!$B$2:$B$151, MATCH(C238, Products_Catalog!$A$2:$A$151, 0))</f>
        <v/>
      </c>
      <c r="P238" s="13">
        <f>INDEX(Products_Catalog!$D$2:$D$151, MATCH(C238, Products_Catalog!$A$2:$A$151, 0))</f>
        <v/>
      </c>
      <c r="Q238" s="13">
        <f>I238-J238</f>
        <v/>
      </c>
      <c r="R238" s="15">
        <f>IF(K238&gt;20, "BREACH", "OK")</f>
        <v/>
      </c>
    </row>
    <row r="239">
      <c r="A239" t="inlineStr">
        <is>
          <t>ORD01184</t>
        </is>
      </c>
      <c r="B239" t="inlineStr">
        <is>
          <t>CUST0009</t>
        </is>
      </c>
      <c r="C239" t="inlineStr">
        <is>
          <t>PROD141</t>
        </is>
      </c>
      <c r="D239" t="inlineStr">
        <is>
          <t>STORE023</t>
        </is>
      </c>
      <c r="E239" t="inlineStr">
        <is>
          <t>DP041</t>
        </is>
      </c>
      <c r="F239" t="inlineStr">
        <is>
          <t>2024-04-18 18:02:00</t>
        </is>
      </c>
      <c r="G239" t="inlineStr">
        <is>
          <t>2024-04-18 18:20:00</t>
        </is>
      </c>
      <c r="H239" s="14" t="n">
        <v>3</v>
      </c>
      <c r="I239" s="13" t="n">
        <v>946.83</v>
      </c>
      <c r="J239" s="13" t="n">
        <v>158.16</v>
      </c>
      <c r="K239" s="16" t="n">
        <v>18</v>
      </c>
      <c r="L239" t="inlineStr">
        <is>
          <t>Delivered</t>
        </is>
      </c>
      <c r="M239" t="inlineStr">
        <is>
          <t>PAY02</t>
        </is>
      </c>
      <c r="N239" t="inlineStr">
        <is>
          <t>Evening</t>
        </is>
      </c>
      <c r="O239">
        <f>INDEX(Products_Catalog!$B$2:$B$151, MATCH(C239, Products_Catalog!$A$2:$A$151, 0))</f>
        <v/>
      </c>
      <c r="P239" s="13">
        <f>INDEX(Products_Catalog!$D$2:$D$151, MATCH(C239, Products_Catalog!$A$2:$A$151, 0))</f>
        <v/>
      </c>
      <c r="Q239" s="13">
        <f>I239-J239</f>
        <v/>
      </c>
      <c r="R239" s="15">
        <f>IF(K239&gt;20, "BREACH", "OK")</f>
        <v/>
      </c>
    </row>
    <row r="240">
      <c r="A240" t="inlineStr">
        <is>
          <t>ORD01185</t>
        </is>
      </c>
      <c r="B240" t="inlineStr">
        <is>
          <t>CUST0046</t>
        </is>
      </c>
      <c r="C240" t="inlineStr">
        <is>
          <t>PROD128</t>
        </is>
      </c>
      <c r="D240" t="inlineStr">
        <is>
          <t>STORE023</t>
        </is>
      </c>
      <c r="E240" t="inlineStr">
        <is>
          <t>DP015</t>
        </is>
      </c>
      <c r="F240" t="inlineStr">
        <is>
          <t>2024-09-20 19:46:00</t>
        </is>
      </c>
      <c r="G240" t="inlineStr">
        <is>
          <t>2024-09-20 20:05:00</t>
        </is>
      </c>
      <c r="H240" s="14" t="n">
        <v>3</v>
      </c>
      <c r="I240" s="13" t="n">
        <v>163.5</v>
      </c>
      <c r="J240" s="13" t="n">
        <v>20.1</v>
      </c>
      <c r="K240" s="16" t="n">
        <v>19</v>
      </c>
      <c r="L240" t="inlineStr">
        <is>
          <t>Delivered</t>
        </is>
      </c>
      <c r="M240" t="inlineStr">
        <is>
          <t>PAY01</t>
        </is>
      </c>
      <c r="N240" t="inlineStr">
        <is>
          <t>Evening</t>
        </is>
      </c>
      <c r="O240">
        <f>INDEX(Products_Catalog!$B$2:$B$151, MATCH(C240, Products_Catalog!$A$2:$A$151, 0))</f>
        <v/>
      </c>
      <c r="P240" s="13">
        <f>INDEX(Products_Catalog!$D$2:$D$151, MATCH(C240, Products_Catalog!$A$2:$A$151, 0))</f>
        <v/>
      </c>
      <c r="Q240" s="13">
        <f>I240-J240</f>
        <v/>
      </c>
      <c r="R240" s="15">
        <f>IF(K240&gt;20, "BREACH", "OK")</f>
        <v/>
      </c>
    </row>
    <row r="241">
      <c r="A241" t="inlineStr">
        <is>
          <t>ORD01186</t>
        </is>
      </c>
      <c r="B241" t="inlineStr">
        <is>
          <t>CUST0036</t>
        </is>
      </c>
      <c r="C241" t="inlineStr">
        <is>
          <t>PROD145</t>
        </is>
      </c>
      <c r="D241" t="inlineStr">
        <is>
          <t>STORE041</t>
        </is>
      </c>
      <c r="E241" t="inlineStr">
        <is>
          <t>DP034</t>
        </is>
      </c>
      <c r="F241" t="inlineStr">
        <is>
          <t>2025-04-18 14:41:00</t>
        </is>
      </c>
      <c r="G241" t="inlineStr">
        <is>
          <t>2025-04-18 15:01:00</t>
        </is>
      </c>
      <c r="H241" s="14" t="n">
        <v>8</v>
      </c>
      <c r="I241" s="13" t="n">
        <v>3972.32</v>
      </c>
      <c r="J241" s="13" t="n">
        <v>805.39</v>
      </c>
      <c r="K241" s="16" t="n">
        <v>20</v>
      </c>
      <c r="L241" t="inlineStr">
        <is>
          <t>Returned</t>
        </is>
      </c>
      <c r="M241" t="inlineStr">
        <is>
          <t>PAY02</t>
        </is>
      </c>
      <c r="N241" t="inlineStr">
        <is>
          <t>Afternoon</t>
        </is>
      </c>
      <c r="O241">
        <f>INDEX(Products_Catalog!$B$2:$B$151, MATCH(C241, Products_Catalog!$A$2:$A$151, 0))</f>
        <v/>
      </c>
      <c r="P241" s="13">
        <f>INDEX(Products_Catalog!$D$2:$D$151, MATCH(C241, Products_Catalog!$A$2:$A$151, 0))</f>
        <v/>
      </c>
      <c r="Q241" s="13">
        <f>I241-J241</f>
        <v/>
      </c>
      <c r="R241" s="15">
        <f>IF(K241&gt;20, "BREACH", "OK")</f>
        <v/>
      </c>
    </row>
    <row r="242">
      <c r="A242" t="inlineStr">
        <is>
          <t>ORD01187</t>
        </is>
      </c>
      <c r="B242" t="inlineStr">
        <is>
          <t>CUST0029</t>
        </is>
      </c>
      <c r="C242" t="inlineStr">
        <is>
          <t>PROD063</t>
        </is>
      </c>
      <c r="D242" t="inlineStr">
        <is>
          <t>STORE016</t>
        </is>
      </c>
      <c r="E242" t="inlineStr">
        <is>
          <t>DP015</t>
        </is>
      </c>
      <c r="F242" t="inlineStr">
        <is>
          <t>2024-09-28 13:34:00</t>
        </is>
      </c>
      <c r="G242" t="inlineStr">
        <is>
          <t>2024-09-28 13:55:00</t>
        </is>
      </c>
      <c r="H242" s="14" t="n">
        <v>3</v>
      </c>
      <c r="I242" s="13" t="n">
        <v>706.95</v>
      </c>
      <c r="J242" s="13" t="n">
        <v>92.20999999999999</v>
      </c>
      <c r="K242" s="16" t="n">
        <v>21</v>
      </c>
      <c r="L242" t="inlineStr">
        <is>
          <t>Shipped</t>
        </is>
      </c>
      <c r="M242" t="inlineStr">
        <is>
          <t>PAY05</t>
        </is>
      </c>
      <c r="N242" t="inlineStr">
        <is>
          <t>Afternoon</t>
        </is>
      </c>
      <c r="O242">
        <f>INDEX(Products_Catalog!$B$2:$B$151, MATCH(C242, Products_Catalog!$A$2:$A$151, 0))</f>
        <v/>
      </c>
      <c r="P242" s="13">
        <f>INDEX(Products_Catalog!$D$2:$D$151, MATCH(C242, Products_Catalog!$A$2:$A$151, 0))</f>
        <v/>
      </c>
      <c r="Q242" s="13">
        <f>I242-J242</f>
        <v/>
      </c>
      <c r="R242" s="15">
        <f>IF(K242&gt;20, "BREACH", "OK")</f>
        <v/>
      </c>
    </row>
    <row r="243">
      <c r="A243" t="inlineStr">
        <is>
          <t>ORD01188</t>
        </is>
      </c>
      <c r="B243" t="inlineStr">
        <is>
          <t>CUST0044</t>
        </is>
      </c>
      <c r="C243" t="inlineStr">
        <is>
          <t>PROD013</t>
        </is>
      </c>
      <c r="D243" t="inlineStr">
        <is>
          <t>STORE049</t>
        </is>
      </c>
      <c r="E243" t="inlineStr">
        <is>
          <t>DP036</t>
        </is>
      </c>
      <c r="F243" t="inlineStr">
        <is>
          <t>2025-03-04 16:48:00</t>
        </is>
      </c>
      <c r="G243" t="inlineStr">
        <is>
          <t>2025-03-04 17:10:00</t>
        </is>
      </c>
      <c r="H243" s="14" t="n">
        <v>2</v>
      </c>
      <c r="I243" s="13" t="n">
        <v>519.4400000000001</v>
      </c>
      <c r="J243" s="13" t="n">
        <v>76.7</v>
      </c>
      <c r="K243" s="16" t="n">
        <v>22</v>
      </c>
      <c r="L243" t="inlineStr">
        <is>
          <t>Shipped</t>
        </is>
      </c>
      <c r="M243" t="inlineStr">
        <is>
          <t>PAY01</t>
        </is>
      </c>
      <c r="N243" t="inlineStr">
        <is>
          <t>Afternoon</t>
        </is>
      </c>
      <c r="O243">
        <f>INDEX(Products_Catalog!$B$2:$B$151, MATCH(C243, Products_Catalog!$A$2:$A$151, 0))</f>
        <v/>
      </c>
      <c r="P243" s="13">
        <f>INDEX(Products_Catalog!$D$2:$D$151, MATCH(C243, Products_Catalog!$A$2:$A$151, 0))</f>
        <v/>
      </c>
      <c r="Q243" s="13">
        <f>I243-J243</f>
        <v/>
      </c>
      <c r="R243" s="15">
        <f>IF(K243&gt;20, "BREACH", "OK")</f>
        <v/>
      </c>
    </row>
    <row r="244">
      <c r="A244" t="inlineStr">
        <is>
          <t>ORD01189</t>
        </is>
      </c>
      <c r="B244" t="inlineStr">
        <is>
          <t>CUST0037</t>
        </is>
      </c>
      <c r="C244" t="inlineStr">
        <is>
          <t>PROD086</t>
        </is>
      </c>
      <c r="D244" t="inlineStr">
        <is>
          <t>STORE022</t>
        </is>
      </c>
      <c r="E244" t="inlineStr">
        <is>
          <t>DP031</t>
        </is>
      </c>
      <c r="F244" t="inlineStr">
        <is>
          <t>2024-05-23 15:27:00</t>
        </is>
      </c>
      <c r="G244" t="inlineStr">
        <is>
          <t>2024-05-23 15:50:00</t>
        </is>
      </c>
      <c r="H244" s="14" t="n">
        <v>8</v>
      </c>
      <c r="I244" s="13" t="n">
        <v>3449.44</v>
      </c>
      <c r="J244" s="13" t="n">
        <v>65</v>
      </c>
      <c r="K244" s="16" t="n">
        <v>23</v>
      </c>
      <c r="L244" t="inlineStr">
        <is>
          <t>Delivered</t>
        </is>
      </c>
      <c r="M244" t="inlineStr">
        <is>
          <t>PAY03</t>
        </is>
      </c>
      <c r="N244" t="inlineStr">
        <is>
          <t>Afternoon</t>
        </is>
      </c>
      <c r="O244">
        <f>INDEX(Products_Catalog!$B$2:$B$151, MATCH(C244, Products_Catalog!$A$2:$A$151, 0))</f>
        <v/>
      </c>
      <c r="P244" s="13">
        <f>INDEX(Products_Catalog!$D$2:$D$151, MATCH(C244, Products_Catalog!$A$2:$A$151, 0))</f>
        <v/>
      </c>
      <c r="Q244" s="13">
        <f>I244-J244</f>
        <v/>
      </c>
      <c r="R244" s="15">
        <f>IF(K244&gt;20, "BREACH", "OK")</f>
        <v/>
      </c>
    </row>
    <row r="245">
      <c r="A245" t="inlineStr">
        <is>
          <t>ORD01190</t>
        </is>
      </c>
      <c r="B245" t="inlineStr">
        <is>
          <t>CUST0028</t>
        </is>
      </c>
      <c r="C245" t="inlineStr">
        <is>
          <t>PROD036</t>
        </is>
      </c>
      <c r="D245" t="inlineStr">
        <is>
          <t>STORE003</t>
        </is>
      </c>
      <c r="E245" t="inlineStr">
        <is>
          <t>DP022</t>
        </is>
      </c>
      <c r="F245" t="inlineStr">
        <is>
          <t>2024-07-02 17:43:00</t>
        </is>
      </c>
      <c r="G245" t="inlineStr">
        <is>
          <t>2024-07-02 18:07:00</t>
        </is>
      </c>
      <c r="H245" s="14" t="n">
        <v>10</v>
      </c>
      <c r="I245" s="13" t="n">
        <v>3808.3</v>
      </c>
      <c r="J245" s="13" t="n">
        <v>904.6799999999999</v>
      </c>
      <c r="K245" s="16" t="n">
        <v>24</v>
      </c>
      <c r="L245" t="inlineStr">
        <is>
          <t>Cancelled</t>
        </is>
      </c>
      <c r="M245" t="inlineStr">
        <is>
          <t>PAY02</t>
        </is>
      </c>
      <c r="N245" t="inlineStr">
        <is>
          <t>Evening</t>
        </is>
      </c>
      <c r="O245">
        <f>INDEX(Products_Catalog!$B$2:$B$151, MATCH(C245, Products_Catalog!$A$2:$A$151, 0))</f>
        <v/>
      </c>
      <c r="P245" s="13">
        <f>INDEX(Products_Catalog!$D$2:$D$151, MATCH(C245, Products_Catalog!$A$2:$A$151, 0))</f>
        <v/>
      </c>
      <c r="Q245" s="13">
        <f>I245-J245</f>
        <v/>
      </c>
      <c r="R245" s="15">
        <f>IF(K245&gt;20, "BREACH", "OK")</f>
        <v/>
      </c>
    </row>
    <row r="246">
      <c r="A246" t="inlineStr">
        <is>
          <t>ORD01191</t>
        </is>
      </c>
      <c r="B246" t="inlineStr">
        <is>
          <t>CUST0039</t>
        </is>
      </c>
      <c r="C246" t="inlineStr">
        <is>
          <t>PROD121</t>
        </is>
      </c>
      <c r="D246" t="inlineStr">
        <is>
          <t>STORE007</t>
        </is>
      </c>
      <c r="E246" t="inlineStr">
        <is>
          <t>DP017</t>
        </is>
      </c>
      <c r="F246" t="inlineStr">
        <is>
          <t>2025-03-03 07:54:00</t>
        </is>
      </c>
      <c r="G246" t="inlineStr">
        <is>
          <t>2025-03-03 08:19:00</t>
        </is>
      </c>
      <c r="H246" s="14" t="n">
        <v>1</v>
      </c>
      <c r="I246" s="13" t="n">
        <v>160.72</v>
      </c>
      <c r="J246" s="13" t="n">
        <v>15.17</v>
      </c>
      <c r="K246" s="16" t="n">
        <v>25</v>
      </c>
      <c r="L246" t="inlineStr">
        <is>
          <t>Delivered</t>
        </is>
      </c>
      <c r="M246" t="inlineStr">
        <is>
          <t>PAY01</t>
        </is>
      </c>
      <c r="N246" t="inlineStr">
        <is>
          <t>Morning</t>
        </is>
      </c>
      <c r="O246">
        <f>INDEX(Products_Catalog!$B$2:$B$151, MATCH(C246, Products_Catalog!$A$2:$A$151, 0))</f>
        <v/>
      </c>
      <c r="P246" s="13">
        <f>INDEX(Products_Catalog!$D$2:$D$151, MATCH(C246, Products_Catalog!$A$2:$A$151, 0))</f>
        <v/>
      </c>
      <c r="Q246" s="13">
        <f>I246-J246</f>
        <v/>
      </c>
      <c r="R246" s="15">
        <f>IF(K246&gt;20, "BREACH", "OK")</f>
        <v/>
      </c>
    </row>
    <row r="247">
      <c r="A247" t="inlineStr">
        <is>
          <t>ORD01192</t>
        </is>
      </c>
      <c r="B247" t="inlineStr">
        <is>
          <t>CUST0010</t>
        </is>
      </c>
      <c r="C247" t="inlineStr">
        <is>
          <t>PROD123</t>
        </is>
      </c>
      <c r="D247" t="inlineStr">
        <is>
          <t>STORE035</t>
        </is>
      </c>
      <c r="E247" t="inlineStr">
        <is>
          <t>DP020</t>
        </is>
      </c>
      <c r="F247" t="inlineStr">
        <is>
          <t>2024-03-17 14:25:00</t>
        </is>
      </c>
      <c r="G247" t="inlineStr">
        <is>
          <t>2024-03-17 14:51:00</t>
        </is>
      </c>
      <c r="H247" s="14" t="n">
        <v>7</v>
      </c>
      <c r="I247" s="13" t="n">
        <v>1113.77</v>
      </c>
      <c r="J247" s="13" t="n">
        <v>104.13</v>
      </c>
      <c r="K247" s="16" t="n">
        <v>26</v>
      </c>
      <c r="L247" t="inlineStr">
        <is>
          <t>Shipped</t>
        </is>
      </c>
      <c r="M247" t="inlineStr">
        <is>
          <t>PAY02</t>
        </is>
      </c>
      <c r="N247" t="inlineStr">
        <is>
          <t>Afternoon</t>
        </is>
      </c>
      <c r="O247">
        <f>INDEX(Products_Catalog!$B$2:$B$151, MATCH(C247, Products_Catalog!$A$2:$A$151, 0))</f>
        <v/>
      </c>
      <c r="P247" s="13">
        <f>INDEX(Products_Catalog!$D$2:$D$151, MATCH(C247, Products_Catalog!$A$2:$A$151, 0))</f>
        <v/>
      </c>
      <c r="Q247" s="13">
        <f>I247-J247</f>
        <v/>
      </c>
      <c r="R247" s="15">
        <f>IF(K247&gt;20, "BREACH", "OK")</f>
        <v/>
      </c>
    </row>
    <row r="248">
      <c r="A248" t="inlineStr">
        <is>
          <t>ORD01193</t>
        </is>
      </c>
      <c r="B248" t="inlineStr">
        <is>
          <t>CUST0049</t>
        </is>
      </c>
      <c r="C248" t="inlineStr">
        <is>
          <t>PROD064</t>
        </is>
      </c>
      <c r="D248" t="inlineStr">
        <is>
          <t>STORE024</t>
        </is>
      </c>
      <c r="E248" t="inlineStr">
        <is>
          <t>DP039</t>
        </is>
      </c>
      <c r="F248" t="inlineStr">
        <is>
          <t>2024-02-18 17:30:00</t>
        </is>
      </c>
      <c r="G248" t="inlineStr">
        <is>
          <t>2024-02-18 17:57:00</t>
        </is>
      </c>
      <c r="H248" s="14" t="n">
        <v>2</v>
      </c>
      <c r="I248" s="13" t="n">
        <v>335.64</v>
      </c>
      <c r="J248" s="13" t="n">
        <v>6.14</v>
      </c>
      <c r="K248" s="16" t="n">
        <v>27</v>
      </c>
      <c r="L248" t="inlineStr">
        <is>
          <t>Shipped</t>
        </is>
      </c>
      <c r="M248" t="inlineStr">
        <is>
          <t>PAY03</t>
        </is>
      </c>
      <c r="N248" t="inlineStr">
        <is>
          <t>Evening</t>
        </is>
      </c>
      <c r="O248">
        <f>INDEX(Products_Catalog!$B$2:$B$151, MATCH(C248, Products_Catalog!$A$2:$A$151, 0))</f>
        <v/>
      </c>
      <c r="P248" s="13">
        <f>INDEX(Products_Catalog!$D$2:$D$151, MATCH(C248, Products_Catalog!$A$2:$A$151, 0))</f>
        <v/>
      </c>
      <c r="Q248" s="13">
        <f>I248-J248</f>
        <v/>
      </c>
      <c r="R248" s="15">
        <f>IF(K248&gt;20, "BREACH", "OK")</f>
        <v/>
      </c>
    </row>
    <row r="249">
      <c r="A249" t="inlineStr">
        <is>
          <t>ORD01194</t>
        </is>
      </c>
      <c r="B249" t="inlineStr">
        <is>
          <t>CUST0020</t>
        </is>
      </c>
      <c r="C249" t="inlineStr">
        <is>
          <t>PROD103</t>
        </is>
      </c>
      <c r="D249" t="inlineStr">
        <is>
          <t>STORE046</t>
        </is>
      </c>
      <c r="E249" t="inlineStr">
        <is>
          <t>DP041</t>
        </is>
      </c>
      <c r="F249" t="inlineStr">
        <is>
          <t>2024-08-29 09:10:00</t>
        </is>
      </c>
      <c r="G249" t="inlineStr">
        <is>
          <t>2024-08-29 09:38:00</t>
        </is>
      </c>
      <c r="H249" s="14" t="n">
        <v>7</v>
      </c>
      <c r="I249" s="13" t="n">
        <v>443.17</v>
      </c>
      <c r="J249" s="13" t="n">
        <v>45.69</v>
      </c>
      <c r="K249" s="16" t="n">
        <v>28</v>
      </c>
      <c r="L249" t="inlineStr">
        <is>
          <t>Pending</t>
        </is>
      </c>
      <c r="M249" t="inlineStr">
        <is>
          <t>PAY05</t>
        </is>
      </c>
      <c r="N249" t="inlineStr">
        <is>
          <t>Morning</t>
        </is>
      </c>
      <c r="O249">
        <f>INDEX(Products_Catalog!$B$2:$B$151, MATCH(C249, Products_Catalog!$A$2:$A$151, 0))</f>
        <v/>
      </c>
      <c r="P249" s="13">
        <f>INDEX(Products_Catalog!$D$2:$D$151, MATCH(C249, Products_Catalog!$A$2:$A$151, 0))</f>
        <v/>
      </c>
      <c r="Q249" s="13">
        <f>I249-J249</f>
        <v/>
      </c>
      <c r="R249" s="15">
        <f>IF(K249&gt;20, "BREACH", "OK")</f>
        <v/>
      </c>
    </row>
    <row r="250">
      <c r="A250" t="inlineStr">
        <is>
          <t>ORD01196</t>
        </is>
      </c>
      <c r="B250" t="inlineStr">
        <is>
          <t>CUST0028</t>
        </is>
      </c>
      <c r="C250" t="inlineStr">
        <is>
          <t>PROD030</t>
        </is>
      </c>
      <c r="D250" t="inlineStr">
        <is>
          <t>STORE020</t>
        </is>
      </c>
      <c r="E250" t="inlineStr">
        <is>
          <t>DP047</t>
        </is>
      </c>
      <c r="F250" t="inlineStr">
        <is>
          <t>2025-04-23 16:46:00</t>
        </is>
      </c>
      <c r="G250" t="inlineStr">
        <is>
          <t>2025-04-23 17:16:00</t>
        </is>
      </c>
      <c r="H250" s="14" t="n">
        <v>8</v>
      </c>
      <c r="I250" s="13" t="n">
        <v>596.8</v>
      </c>
      <c r="J250" s="13" t="n">
        <v>58.33</v>
      </c>
      <c r="K250" s="16" t="n">
        <v>30</v>
      </c>
      <c r="L250" t="inlineStr">
        <is>
          <t>Returned</t>
        </is>
      </c>
      <c r="M250" t="inlineStr">
        <is>
          <t>PAY03</t>
        </is>
      </c>
      <c r="N250" t="inlineStr">
        <is>
          <t>Afternoon</t>
        </is>
      </c>
      <c r="O250">
        <f>INDEX(Products_Catalog!$B$2:$B$151, MATCH(C250, Products_Catalog!$A$2:$A$151, 0))</f>
        <v/>
      </c>
      <c r="P250" s="13">
        <f>INDEX(Products_Catalog!$D$2:$D$151, MATCH(C250, Products_Catalog!$A$2:$A$151, 0))</f>
        <v/>
      </c>
      <c r="Q250" s="13">
        <f>I250-J250</f>
        <v/>
      </c>
      <c r="R250" s="15">
        <f>IF(K250&gt;20, "BREACH", "OK")</f>
        <v/>
      </c>
    </row>
    <row r="251">
      <c r="A251" t="inlineStr">
        <is>
          <t>ORD01198</t>
        </is>
      </c>
      <c r="B251" t="inlineStr">
        <is>
          <t>CUST0029</t>
        </is>
      </c>
      <c r="C251" t="inlineStr">
        <is>
          <t>PROD025</t>
        </is>
      </c>
      <c r="D251" t="inlineStr">
        <is>
          <t>STORE030</t>
        </is>
      </c>
      <c r="E251" t="inlineStr">
        <is>
          <t>DP041</t>
        </is>
      </c>
      <c r="F251" t="inlineStr">
        <is>
          <t>2024-04-26 17:10:00</t>
        </is>
      </c>
      <c r="G251" t="inlineStr">
        <is>
          <t>2024-04-26 17:21:00</t>
        </is>
      </c>
      <c r="H251" s="14" t="n">
        <v>7</v>
      </c>
      <c r="I251" s="13" t="n">
        <v>416.85</v>
      </c>
      <c r="J251" s="13" t="n">
        <v>5.3</v>
      </c>
      <c r="K251" s="16" t="n">
        <v>11</v>
      </c>
      <c r="L251" t="inlineStr">
        <is>
          <t>Returned</t>
        </is>
      </c>
      <c r="M251" t="inlineStr">
        <is>
          <t>PAY05</t>
        </is>
      </c>
      <c r="N251" t="inlineStr">
        <is>
          <t>Evening</t>
        </is>
      </c>
      <c r="O251">
        <f>INDEX(Products_Catalog!$B$2:$B$151, MATCH(C251, Products_Catalog!$A$2:$A$151, 0))</f>
        <v/>
      </c>
      <c r="P251" s="13">
        <f>INDEX(Products_Catalog!$D$2:$D$151, MATCH(C251, Products_Catalog!$A$2:$A$151, 0))</f>
        <v/>
      </c>
      <c r="Q251" s="13">
        <f>I251-J251</f>
        <v/>
      </c>
      <c r="R251" s="15">
        <f>IF(K251&gt;20, "BREACH", "OK")</f>
        <v/>
      </c>
    </row>
    <row r="252">
      <c r="A252" t="inlineStr">
        <is>
          <t>ORD01199</t>
        </is>
      </c>
      <c r="B252" t="inlineStr">
        <is>
          <t>CUST0018</t>
        </is>
      </c>
      <c r="C252" t="inlineStr">
        <is>
          <t>PROD133</t>
        </is>
      </c>
      <c r="D252" t="inlineStr">
        <is>
          <t>STORE023</t>
        </is>
      </c>
      <c r="E252" t="inlineStr">
        <is>
          <t>DP047</t>
        </is>
      </c>
      <c r="F252" t="inlineStr">
        <is>
          <t>2025-06-06 15:43:00</t>
        </is>
      </c>
      <c r="G252" t="inlineStr">
        <is>
          <t>2025-06-06 15:55:00</t>
        </is>
      </c>
      <c r="H252" s="14" t="n">
        <v>7</v>
      </c>
      <c r="I252" s="13" t="n">
        <v>2351.09</v>
      </c>
      <c r="J252" s="13" t="n">
        <v>147.46</v>
      </c>
      <c r="K252" s="16" t="n">
        <v>12</v>
      </c>
      <c r="L252" t="inlineStr">
        <is>
          <t>Shipped</t>
        </is>
      </c>
      <c r="M252" t="inlineStr">
        <is>
          <t>PAY05</t>
        </is>
      </c>
      <c r="N252" t="inlineStr">
        <is>
          <t>Afternoon</t>
        </is>
      </c>
      <c r="O252">
        <f>INDEX(Products_Catalog!$B$2:$B$151, MATCH(C252, Products_Catalog!$A$2:$A$151, 0))</f>
        <v/>
      </c>
      <c r="P252" s="13">
        <f>INDEX(Products_Catalog!$D$2:$D$151, MATCH(C252, Products_Catalog!$A$2:$A$151, 0))</f>
        <v/>
      </c>
      <c r="Q252" s="13">
        <f>I252-J252</f>
        <v/>
      </c>
      <c r="R252" s="15">
        <f>IF(K252&gt;20, "BREACH", "OK")</f>
        <v/>
      </c>
    </row>
    <row r="253">
      <c r="A253" t="inlineStr">
        <is>
          <t>ORD01204</t>
        </is>
      </c>
      <c r="B253" t="inlineStr">
        <is>
          <t>CUST0014</t>
        </is>
      </c>
      <c r="C253" t="inlineStr">
        <is>
          <t>PROD120</t>
        </is>
      </c>
      <c r="D253" t="inlineStr">
        <is>
          <t>STORE018</t>
        </is>
      </c>
      <c r="E253" t="inlineStr">
        <is>
          <t>DP026</t>
        </is>
      </c>
      <c r="F253" t="inlineStr">
        <is>
          <t>2025-01-09 14:28:00</t>
        </is>
      </c>
      <c r="G253" t="inlineStr">
        <is>
          <t>2025-01-09 14:45:00</t>
        </is>
      </c>
      <c r="H253" s="14" t="n">
        <v>9</v>
      </c>
      <c r="I253" s="13" t="n">
        <v>3375.81</v>
      </c>
      <c r="J253" s="13" t="n">
        <v>657.24</v>
      </c>
      <c r="K253" s="16" t="n">
        <v>17</v>
      </c>
      <c r="L253" t="inlineStr">
        <is>
          <t>Cancelled</t>
        </is>
      </c>
      <c r="M253" t="inlineStr">
        <is>
          <t>PAY05</t>
        </is>
      </c>
      <c r="N253" t="inlineStr">
        <is>
          <t>Afternoon</t>
        </is>
      </c>
      <c r="O253">
        <f>INDEX(Products_Catalog!$B$2:$B$151, MATCH(C253, Products_Catalog!$A$2:$A$151, 0))</f>
        <v/>
      </c>
      <c r="P253" s="13">
        <f>INDEX(Products_Catalog!$D$2:$D$151, MATCH(C253, Products_Catalog!$A$2:$A$151, 0))</f>
        <v/>
      </c>
      <c r="Q253" s="13">
        <f>I253-J253</f>
        <v/>
      </c>
      <c r="R253" s="15">
        <f>IF(K253&gt;20, "BREACH", "OK")</f>
        <v/>
      </c>
    </row>
    <row r="254">
      <c r="A254" t="inlineStr">
        <is>
          <t>ORD01205</t>
        </is>
      </c>
      <c r="B254" t="inlineStr">
        <is>
          <t>CUST0031</t>
        </is>
      </c>
      <c r="C254" t="inlineStr">
        <is>
          <t>PROD057</t>
        </is>
      </c>
      <c r="D254" t="inlineStr">
        <is>
          <t>STORE015</t>
        </is>
      </c>
      <c r="E254" t="inlineStr">
        <is>
          <t>DP007</t>
        </is>
      </c>
      <c r="F254" t="inlineStr">
        <is>
          <t>2025-05-24 13:07:00</t>
        </is>
      </c>
      <c r="G254" t="inlineStr">
        <is>
          <t>2025-05-24 13:25:00</t>
        </is>
      </c>
      <c r="H254" s="14" t="n">
        <v>3</v>
      </c>
      <c r="I254" s="13" t="n">
        <v>1285.71</v>
      </c>
      <c r="J254" s="13" t="n">
        <v>255.05</v>
      </c>
      <c r="K254" s="16" t="n">
        <v>18</v>
      </c>
      <c r="L254" t="inlineStr">
        <is>
          <t>Cancelled</t>
        </is>
      </c>
      <c r="M254" t="inlineStr">
        <is>
          <t>PAY03</t>
        </is>
      </c>
      <c r="N254" t="inlineStr">
        <is>
          <t>Afternoon</t>
        </is>
      </c>
      <c r="O254">
        <f>INDEX(Products_Catalog!$B$2:$B$151, MATCH(C254, Products_Catalog!$A$2:$A$151, 0))</f>
        <v/>
      </c>
      <c r="P254" s="13">
        <f>INDEX(Products_Catalog!$D$2:$D$151, MATCH(C254, Products_Catalog!$A$2:$A$151, 0))</f>
        <v/>
      </c>
      <c r="Q254" s="13">
        <f>I254-J254</f>
        <v/>
      </c>
      <c r="R254" s="15">
        <f>IF(K254&gt;20, "BREACH", "OK")</f>
        <v/>
      </c>
    </row>
    <row r="255">
      <c r="A255" t="inlineStr">
        <is>
          <t>ORD01209</t>
        </is>
      </c>
      <c r="B255" t="inlineStr">
        <is>
          <t>CUST0018</t>
        </is>
      </c>
      <c r="C255" t="inlineStr">
        <is>
          <t>PROD021</t>
        </is>
      </c>
      <c r="D255" t="inlineStr">
        <is>
          <t>STORE018</t>
        </is>
      </c>
      <c r="E255" t="inlineStr">
        <is>
          <t>DP018</t>
        </is>
      </c>
      <c r="F255" t="inlineStr">
        <is>
          <t>2024-03-31 09:42:00</t>
        </is>
      </c>
      <c r="G255" t="inlineStr">
        <is>
          <t>2024-03-31 10:04:00</t>
        </is>
      </c>
      <c r="H255" s="14" t="n">
        <v>5</v>
      </c>
      <c r="I255" s="13" t="n">
        <v>1860.9</v>
      </c>
      <c r="J255" s="13" t="n">
        <v>431.81</v>
      </c>
      <c r="K255" s="16" t="n">
        <v>22</v>
      </c>
      <c r="L255" t="inlineStr">
        <is>
          <t>Shipped</t>
        </is>
      </c>
      <c r="M255" t="inlineStr">
        <is>
          <t>PAY01</t>
        </is>
      </c>
      <c r="N255" t="inlineStr">
        <is>
          <t>Morning</t>
        </is>
      </c>
      <c r="O255">
        <f>INDEX(Products_Catalog!$B$2:$B$151, MATCH(C255, Products_Catalog!$A$2:$A$151, 0))</f>
        <v/>
      </c>
      <c r="P255" s="13">
        <f>INDEX(Products_Catalog!$D$2:$D$151, MATCH(C255, Products_Catalog!$A$2:$A$151, 0))</f>
        <v/>
      </c>
      <c r="Q255" s="13">
        <f>I255-J255</f>
        <v/>
      </c>
      <c r="R255" s="15">
        <f>IF(K255&gt;20, "BREACH", "OK")</f>
        <v/>
      </c>
    </row>
    <row r="256">
      <c r="A256" t="inlineStr">
        <is>
          <t>ORD01210</t>
        </is>
      </c>
      <c r="B256" t="inlineStr">
        <is>
          <t>CUST0038</t>
        </is>
      </c>
      <c r="C256" t="inlineStr">
        <is>
          <t>PROD101</t>
        </is>
      </c>
      <c r="D256" t="inlineStr">
        <is>
          <t>STORE016</t>
        </is>
      </c>
      <c r="E256" t="inlineStr">
        <is>
          <t>DP007</t>
        </is>
      </c>
      <c r="F256" t="inlineStr">
        <is>
          <t>2025-06-09 15:58:00</t>
        </is>
      </c>
      <c r="G256" t="inlineStr">
        <is>
          <t>2025-06-09 16:21:00</t>
        </is>
      </c>
      <c r="H256" s="14" t="n">
        <v>5</v>
      </c>
      <c r="I256" s="13" t="n">
        <v>2298.1</v>
      </c>
      <c r="J256" s="13" t="n">
        <v>188.31</v>
      </c>
      <c r="K256" s="16" t="n">
        <v>23</v>
      </c>
      <c r="L256" t="inlineStr">
        <is>
          <t>Pending</t>
        </is>
      </c>
      <c r="M256" t="inlineStr">
        <is>
          <t>PAY03</t>
        </is>
      </c>
      <c r="N256" t="inlineStr">
        <is>
          <t>Afternoon</t>
        </is>
      </c>
      <c r="O256">
        <f>INDEX(Products_Catalog!$B$2:$B$151, MATCH(C256, Products_Catalog!$A$2:$A$151, 0))</f>
        <v/>
      </c>
      <c r="P256" s="13">
        <f>INDEX(Products_Catalog!$D$2:$D$151, MATCH(C256, Products_Catalog!$A$2:$A$151, 0))</f>
        <v/>
      </c>
      <c r="Q256" s="13">
        <f>I256-J256</f>
        <v/>
      </c>
      <c r="R256" s="15">
        <f>IF(K256&gt;20, "BREACH", "OK")</f>
        <v/>
      </c>
    </row>
    <row r="257">
      <c r="A257" t="inlineStr">
        <is>
          <t>ORD01211</t>
        </is>
      </c>
      <c r="B257" t="inlineStr">
        <is>
          <t>CUST0003</t>
        </is>
      </c>
      <c r="C257" t="inlineStr">
        <is>
          <t>PROD110</t>
        </is>
      </c>
      <c r="D257" t="inlineStr">
        <is>
          <t>STORE032</t>
        </is>
      </c>
      <c r="E257" t="inlineStr">
        <is>
          <t>DP048</t>
        </is>
      </c>
      <c r="F257" t="inlineStr">
        <is>
          <t>2025-05-07 13:18:00</t>
        </is>
      </c>
      <c r="G257" t="inlineStr">
        <is>
          <t>2025-05-07 13:42:00</t>
        </is>
      </c>
      <c r="H257" s="14" t="n">
        <v>8</v>
      </c>
      <c r="I257" s="13" t="n">
        <v>3609.12</v>
      </c>
      <c r="J257" s="13" t="n">
        <v>12.7</v>
      </c>
      <c r="K257" s="16" t="n">
        <v>24</v>
      </c>
      <c r="L257" t="inlineStr">
        <is>
          <t>Delivered</t>
        </is>
      </c>
      <c r="M257" t="inlineStr">
        <is>
          <t>PAY03</t>
        </is>
      </c>
      <c r="N257" t="inlineStr">
        <is>
          <t>Afternoon</t>
        </is>
      </c>
      <c r="O257">
        <f>INDEX(Products_Catalog!$B$2:$B$151, MATCH(C257, Products_Catalog!$A$2:$A$151, 0))</f>
        <v/>
      </c>
      <c r="P257" s="13">
        <f>INDEX(Products_Catalog!$D$2:$D$151, MATCH(C257, Products_Catalog!$A$2:$A$151, 0))</f>
        <v/>
      </c>
      <c r="Q257" s="13">
        <f>I257-J257</f>
        <v/>
      </c>
      <c r="R257" s="15">
        <f>IF(K257&gt;20, "BREACH", "OK")</f>
        <v/>
      </c>
    </row>
    <row r="258">
      <c r="A258" t="inlineStr">
        <is>
          <t>ORD01212</t>
        </is>
      </c>
      <c r="B258" t="inlineStr">
        <is>
          <t>CUST0015</t>
        </is>
      </c>
      <c r="C258" t="inlineStr">
        <is>
          <t>PROD104</t>
        </is>
      </c>
      <c r="D258" t="inlineStr">
        <is>
          <t>STORE007</t>
        </is>
      </c>
      <c r="E258" t="inlineStr">
        <is>
          <t>DP027</t>
        </is>
      </c>
      <c r="F258" t="inlineStr">
        <is>
          <t>2024-09-08 16:38:00</t>
        </is>
      </c>
      <c r="G258" t="inlineStr">
        <is>
          <t>2024-09-08 17:03:00</t>
        </is>
      </c>
      <c r="H258" s="14" t="n">
        <v>3</v>
      </c>
      <c r="I258" s="13" t="n">
        <v>1407.24</v>
      </c>
      <c r="J258" s="13" t="n">
        <v>75.3</v>
      </c>
      <c r="K258" s="16" t="n">
        <v>25</v>
      </c>
      <c r="L258" t="inlineStr">
        <is>
          <t>Shipped</t>
        </is>
      </c>
      <c r="M258" t="inlineStr">
        <is>
          <t>PAY03</t>
        </is>
      </c>
      <c r="N258" t="inlineStr">
        <is>
          <t>Afternoon</t>
        </is>
      </c>
      <c r="O258">
        <f>INDEX(Products_Catalog!$B$2:$B$151, MATCH(C258, Products_Catalog!$A$2:$A$151, 0))</f>
        <v/>
      </c>
      <c r="P258" s="13">
        <f>INDEX(Products_Catalog!$D$2:$D$151, MATCH(C258, Products_Catalog!$A$2:$A$151, 0))</f>
        <v/>
      </c>
      <c r="Q258" s="13">
        <f>I258-J258</f>
        <v/>
      </c>
      <c r="R258" s="15">
        <f>IF(K258&gt;20, "BREACH", "OK")</f>
        <v/>
      </c>
    </row>
    <row r="259">
      <c r="A259" t="inlineStr">
        <is>
          <t>ORD01213</t>
        </is>
      </c>
      <c r="B259" t="inlineStr">
        <is>
          <t>CUST0028</t>
        </is>
      </c>
      <c r="C259" t="inlineStr">
        <is>
          <t>PROD074</t>
        </is>
      </c>
      <c r="D259" t="inlineStr">
        <is>
          <t>STORE014</t>
        </is>
      </c>
      <c r="E259" t="inlineStr">
        <is>
          <t>DP049</t>
        </is>
      </c>
      <c r="F259" t="inlineStr">
        <is>
          <t>2024-04-22 20:06:00</t>
        </is>
      </c>
      <c r="G259" t="inlineStr">
        <is>
          <t>2024-04-22 20:32:00</t>
        </is>
      </c>
      <c r="H259" s="14" t="n">
        <v>2</v>
      </c>
      <c r="I259" s="13" t="n">
        <v>259.16</v>
      </c>
      <c r="J259" s="13" t="n">
        <v>2</v>
      </c>
      <c r="K259" s="16" t="n">
        <v>26</v>
      </c>
      <c r="L259" t="inlineStr">
        <is>
          <t>Cancelled</t>
        </is>
      </c>
      <c r="M259" t="inlineStr">
        <is>
          <t>PAY02</t>
        </is>
      </c>
      <c r="N259" t="inlineStr">
        <is>
          <t>Evening</t>
        </is>
      </c>
      <c r="O259">
        <f>INDEX(Products_Catalog!$B$2:$B$151, MATCH(C259, Products_Catalog!$A$2:$A$151, 0))</f>
        <v/>
      </c>
      <c r="P259" s="13">
        <f>INDEX(Products_Catalog!$D$2:$D$151, MATCH(C259, Products_Catalog!$A$2:$A$151, 0))</f>
        <v/>
      </c>
      <c r="Q259" s="13">
        <f>I259-J259</f>
        <v/>
      </c>
      <c r="R259" s="15">
        <f>IF(K259&gt;20, "BREACH", "OK")</f>
        <v/>
      </c>
    </row>
    <row r="260">
      <c r="A260" t="inlineStr">
        <is>
          <t>ORD01216</t>
        </is>
      </c>
      <c r="B260" t="inlineStr">
        <is>
          <t>CUST0009</t>
        </is>
      </c>
      <c r="C260" t="inlineStr">
        <is>
          <t>PROD089</t>
        </is>
      </c>
      <c r="D260" t="inlineStr">
        <is>
          <t>STORE001</t>
        </is>
      </c>
      <c r="E260" t="inlineStr">
        <is>
          <t>DP042</t>
        </is>
      </c>
      <c r="F260" t="inlineStr">
        <is>
          <t>2024-03-15 10:55:00</t>
        </is>
      </c>
      <c r="G260" t="inlineStr">
        <is>
          <t>2024-03-15 11:24:00</t>
        </is>
      </c>
      <c r="H260" s="14" t="n">
        <v>1</v>
      </c>
      <c r="I260" s="13" t="n">
        <v>226.89</v>
      </c>
      <c r="J260" s="13" t="n">
        <v>27.66</v>
      </c>
      <c r="K260" s="16" t="n">
        <v>29</v>
      </c>
      <c r="L260" t="inlineStr">
        <is>
          <t>Pending</t>
        </is>
      </c>
      <c r="M260" t="inlineStr">
        <is>
          <t>PAY05</t>
        </is>
      </c>
      <c r="N260" t="inlineStr">
        <is>
          <t>Morning</t>
        </is>
      </c>
      <c r="O260">
        <f>INDEX(Products_Catalog!$B$2:$B$151, MATCH(C260, Products_Catalog!$A$2:$A$151, 0))</f>
        <v/>
      </c>
      <c r="P260" s="13">
        <f>INDEX(Products_Catalog!$D$2:$D$151, MATCH(C260, Products_Catalog!$A$2:$A$151, 0))</f>
        <v/>
      </c>
      <c r="Q260" s="13">
        <f>I260-J260</f>
        <v/>
      </c>
      <c r="R260" s="15">
        <f>IF(K260&gt;20, "BREACH", "OK")</f>
        <v/>
      </c>
    </row>
    <row r="261">
      <c r="A261" t="inlineStr">
        <is>
          <t>ORD01217</t>
        </is>
      </c>
      <c r="B261" t="inlineStr">
        <is>
          <t>CUST0021</t>
        </is>
      </c>
      <c r="C261" t="inlineStr">
        <is>
          <t>PROD125</t>
        </is>
      </c>
      <c r="D261" t="inlineStr">
        <is>
          <t>STORE013</t>
        </is>
      </c>
      <c r="E261" t="inlineStr">
        <is>
          <t>DP006</t>
        </is>
      </c>
      <c r="F261" t="inlineStr">
        <is>
          <t>2025-03-14 12:36:00</t>
        </is>
      </c>
      <c r="G261" t="inlineStr">
        <is>
          <t>2025-03-14 13:06:00</t>
        </is>
      </c>
      <c r="H261" s="14" t="n">
        <v>4</v>
      </c>
      <c r="I261" s="13" t="n">
        <v>378.36</v>
      </c>
      <c r="J261" s="13" t="n">
        <v>27.6</v>
      </c>
      <c r="K261" s="16" t="n">
        <v>30</v>
      </c>
      <c r="L261" t="inlineStr">
        <is>
          <t>Pending</t>
        </is>
      </c>
      <c r="M261" t="inlineStr">
        <is>
          <t>PAY04</t>
        </is>
      </c>
      <c r="N261" t="inlineStr">
        <is>
          <t>Afternoon</t>
        </is>
      </c>
      <c r="O261">
        <f>INDEX(Products_Catalog!$B$2:$B$151, MATCH(C261, Products_Catalog!$A$2:$A$151, 0))</f>
        <v/>
      </c>
      <c r="P261" s="13">
        <f>INDEX(Products_Catalog!$D$2:$D$151, MATCH(C261, Products_Catalog!$A$2:$A$151, 0))</f>
        <v/>
      </c>
      <c r="Q261" s="13">
        <f>I261-J261</f>
        <v/>
      </c>
      <c r="R261" s="15">
        <f>IF(K261&gt;20, "BREACH", "OK")</f>
        <v/>
      </c>
    </row>
    <row r="262">
      <c r="A262" t="inlineStr">
        <is>
          <t>ORD01219</t>
        </is>
      </c>
      <c r="B262" t="inlineStr">
        <is>
          <t>CUST0017</t>
        </is>
      </c>
      <c r="C262" t="inlineStr">
        <is>
          <t>PROD107</t>
        </is>
      </c>
      <c r="D262" t="inlineStr">
        <is>
          <t>STORE044</t>
        </is>
      </c>
      <c r="E262" t="inlineStr">
        <is>
          <t>DP013</t>
        </is>
      </c>
      <c r="F262" t="inlineStr">
        <is>
          <t>2024-09-20 14:31:00</t>
        </is>
      </c>
      <c r="G262" t="inlineStr">
        <is>
          <t>2024-09-20 14:42:00</t>
        </is>
      </c>
      <c r="H262" s="14" t="n">
        <v>8</v>
      </c>
      <c r="I262" s="13" t="n">
        <v>3678.4</v>
      </c>
      <c r="J262" s="13" t="n">
        <v>39.83</v>
      </c>
      <c r="K262" s="16" t="n">
        <v>11</v>
      </c>
      <c r="L262" t="inlineStr">
        <is>
          <t>Pending</t>
        </is>
      </c>
      <c r="M262" t="inlineStr">
        <is>
          <t>PAY02</t>
        </is>
      </c>
      <c r="N262" t="inlineStr">
        <is>
          <t>Afternoon</t>
        </is>
      </c>
      <c r="O262">
        <f>INDEX(Products_Catalog!$B$2:$B$151, MATCH(C262, Products_Catalog!$A$2:$A$151, 0))</f>
        <v/>
      </c>
      <c r="P262" s="13">
        <f>INDEX(Products_Catalog!$D$2:$D$151, MATCH(C262, Products_Catalog!$A$2:$A$151, 0))</f>
        <v/>
      </c>
      <c r="Q262" s="13">
        <f>I262-J262</f>
        <v/>
      </c>
      <c r="R262" s="15">
        <f>IF(K262&gt;20, "BREACH", "OK")</f>
        <v/>
      </c>
    </row>
    <row r="263">
      <c r="A263" t="inlineStr">
        <is>
          <t>ORD01221</t>
        </is>
      </c>
      <c r="B263" t="inlineStr">
        <is>
          <t>CUST0026</t>
        </is>
      </c>
      <c r="C263" t="inlineStr">
        <is>
          <t>PROD070</t>
        </is>
      </c>
      <c r="D263" t="inlineStr">
        <is>
          <t>STORE038</t>
        </is>
      </c>
      <c r="E263" t="inlineStr">
        <is>
          <t>DP048</t>
        </is>
      </c>
      <c r="F263" t="inlineStr">
        <is>
          <t>2025-01-29 17:31:00</t>
        </is>
      </c>
      <c r="G263" t="inlineStr">
        <is>
          <t>2025-01-29 17:44:00</t>
        </is>
      </c>
      <c r="H263" s="14" t="n">
        <v>10</v>
      </c>
      <c r="I263" s="13" t="n">
        <v>2637.6</v>
      </c>
      <c r="J263" s="13" t="n">
        <v>604.58</v>
      </c>
      <c r="K263" s="16" t="n">
        <v>13</v>
      </c>
      <c r="L263" t="inlineStr">
        <is>
          <t>Cancelled</t>
        </is>
      </c>
      <c r="M263" t="inlineStr">
        <is>
          <t>PAY05</t>
        </is>
      </c>
      <c r="N263" t="inlineStr">
        <is>
          <t>Evening</t>
        </is>
      </c>
      <c r="O263">
        <f>INDEX(Products_Catalog!$B$2:$B$151, MATCH(C263, Products_Catalog!$A$2:$A$151, 0))</f>
        <v/>
      </c>
      <c r="P263" s="13">
        <f>INDEX(Products_Catalog!$D$2:$D$151, MATCH(C263, Products_Catalog!$A$2:$A$151, 0))</f>
        <v/>
      </c>
      <c r="Q263" s="13">
        <f>I263-J263</f>
        <v/>
      </c>
      <c r="R263" s="15">
        <f>IF(K263&gt;20, "BREACH", "OK")</f>
        <v/>
      </c>
    </row>
    <row r="264">
      <c r="A264" t="inlineStr">
        <is>
          <t>ORD01223</t>
        </is>
      </c>
      <c r="B264" t="inlineStr">
        <is>
          <t>CUST0049</t>
        </is>
      </c>
      <c r="C264" t="inlineStr">
        <is>
          <t>PROD038</t>
        </is>
      </c>
      <c r="D264" t="inlineStr">
        <is>
          <t>STORE013</t>
        </is>
      </c>
      <c r="E264" t="inlineStr">
        <is>
          <t>DP033</t>
        </is>
      </c>
      <c r="F264" t="inlineStr">
        <is>
          <t>2024-01-09 14:37:00</t>
        </is>
      </c>
      <c r="G264" t="inlineStr">
        <is>
          <t>2024-01-09 14:52:00</t>
        </is>
      </c>
      <c r="H264" s="14" t="n">
        <v>5</v>
      </c>
      <c r="I264" s="13" t="n">
        <v>2393</v>
      </c>
      <c r="J264" s="13" t="n">
        <v>537.8099999999999</v>
      </c>
      <c r="K264" s="16" t="n">
        <v>15</v>
      </c>
      <c r="L264" t="inlineStr">
        <is>
          <t>Shipped</t>
        </is>
      </c>
      <c r="M264" t="inlineStr">
        <is>
          <t>PAY03</t>
        </is>
      </c>
      <c r="N264" t="inlineStr">
        <is>
          <t>Afternoon</t>
        </is>
      </c>
      <c r="O264">
        <f>INDEX(Products_Catalog!$B$2:$B$151, MATCH(C264, Products_Catalog!$A$2:$A$151, 0))</f>
        <v/>
      </c>
      <c r="P264" s="13">
        <f>INDEX(Products_Catalog!$D$2:$D$151, MATCH(C264, Products_Catalog!$A$2:$A$151, 0))</f>
        <v/>
      </c>
      <c r="Q264" s="13">
        <f>I264-J264</f>
        <v/>
      </c>
      <c r="R264" s="15">
        <f>IF(K264&gt;20, "BREACH", "OK")</f>
        <v/>
      </c>
    </row>
    <row r="265">
      <c r="A265" t="inlineStr">
        <is>
          <t>ORD01226</t>
        </is>
      </c>
      <c r="B265" t="inlineStr">
        <is>
          <t>CUST0047</t>
        </is>
      </c>
      <c r="C265" t="inlineStr">
        <is>
          <t>PROD109</t>
        </is>
      </c>
      <c r="D265" t="inlineStr">
        <is>
          <t>STORE017</t>
        </is>
      </c>
      <c r="E265" t="inlineStr">
        <is>
          <t>DP039</t>
        </is>
      </c>
      <c r="F265" t="inlineStr">
        <is>
          <t>2024-07-23 10:40:00</t>
        </is>
      </c>
      <c r="G265" t="inlineStr">
        <is>
          <t>2024-07-23 10:58:00</t>
        </is>
      </c>
      <c r="H265" s="14" t="n">
        <v>3</v>
      </c>
      <c r="I265" s="13" t="n">
        <v>866.01</v>
      </c>
      <c r="J265" s="13" t="n">
        <v>200.55</v>
      </c>
      <c r="K265" s="16" t="n">
        <v>18</v>
      </c>
      <c r="L265" t="inlineStr">
        <is>
          <t>Pending</t>
        </is>
      </c>
      <c r="M265" t="inlineStr">
        <is>
          <t>PAY01</t>
        </is>
      </c>
      <c r="N265" t="inlineStr">
        <is>
          <t>Morning</t>
        </is>
      </c>
      <c r="O265">
        <f>INDEX(Products_Catalog!$B$2:$B$151, MATCH(C265, Products_Catalog!$A$2:$A$151, 0))</f>
        <v/>
      </c>
      <c r="P265" s="13">
        <f>INDEX(Products_Catalog!$D$2:$D$151, MATCH(C265, Products_Catalog!$A$2:$A$151, 0))</f>
        <v/>
      </c>
      <c r="Q265" s="13">
        <f>I265-J265</f>
        <v/>
      </c>
      <c r="R265" s="15">
        <f>IF(K265&gt;20, "BREACH", "OK")</f>
        <v/>
      </c>
    </row>
    <row r="266">
      <c r="A266" t="inlineStr">
        <is>
          <t>ORD01227</t>
        </is>
      </c>
      <c r="B266" t="inlineStr">
        <is>
          <t>CUST0033</t>
        </is>
      </c>
      <c r="C266" t="inlineStr">
        <is>
          <t>PROD021</t>
        </is>
      </c>
      <c r="D266" t="inlineStr">
        <is>
          <t>STORE031</t>
        </is>
      </c>
      <c r="E266" t="inlineStr">
        <is>
          <t>DP035</t>
        </is>
      </c>
      <c r="F266" t="inlineStr">
        <is>
          <t>2024-10-08 18:57:00</t>
        </is>
      </c>
      <c r="G266" t="inlineStr">
        <is>
          <t>2024-10-08 19:16:00</t>
        </is>
      </c>
      <c r="H266" s="14" t="n">
        <v>2</v>
      </c>
      <c r="I266" s="13" t="n">
        <v>655.36</v>
      </c>
      <c r="J266" s="13" t="n">
        <v>173.78</v>
      </c>
      <c r="K266" s="16" t="n">
        <v>19</v>
      </c>
      <c r="L266" t="inlineStr">
        <is>
          <t>Returned</t>
        </is>
      </c>
      <c r="M266" t="inlineStr">
        <is>
          <t>PAY01</t>
        </is>
      </c>
      <c r="N266" t="inlineStr">
        <is>
          <t>Evening</t>
        </is>
      </c>
      <c r="O266">
        <f>INDEX(Products_Catalog!$B$2:$B$151, MATCH(C266, Products_Catalog!$A$2:$A$151, 0))</f>
        <v/>
      </c>
      <c r="P266" s="13">
        <f>INDEX(Products_Catalog!$D$2:$D$151, MATCH(C266, Products_Catalog!$A$2:$A$151, 0))</f>
        <v/>
      </c>
      <c r="Q266" s="13">
        <f>I266-J266</f>
        <v/>
      </c>
      <c r="R266" s="15">
        <f>IF(K266&gt;20, "BREACH", "OK")</f>
        <v/>
      </c>
    </row>
    <row r="267">
      <c r="A267" t="inlineStr">
        <is>
          <t>ORD01228</t>
        </is>
      </c>
      <c r="B267" t="inlineStr">
        <is>
          <t>CUST0038</t>
        </is>
      </c>
      <c r="C267" t="inlineStr">
        <is>
          <t>PROD128</t>
        </is>
      </c>
      <c r="D267" t="inlineStr">
        <is>
          <t>STORE027</t>
        </is>
      </c>
      <c r="E267" t="inlineStr">
        <is>
          <t>DP048</t>
        </is>
      </c>
      <c r="F267" t="inlineStr">
        <is>
          <t>2025-01-06 07:42:00</t>
        </is>
      </c>
      <c r="G267" t="inlineStr">
        <is>
          <t>2025-01-06 08:02:00</t>
        </is>
      </c>
      <c r="H267" s="14" t="n">
        <v>1</v>
      </c>
      <c r="I267" s="13" t="n">
        <v>341.8</v>
      </c>
      <c r="J267" s="13" t="n">
        <v>31.1</v>
      </c>
      <c r="K267" s="16" t="n">
        <v>20</v>
      </c>
      <c r="L267" t="inlineStr">
        <is>
          <t>Cancelled</t>
        </is>
      </c>
      <c r="M267" t="inlineStr">
        <is>
          <t>PAY05</t>
        </is>
      </c>
      <c r="N267" t="inlineStr">
        <is>
          <t>Morning</t>
        </is>
      </c>
      <c r="O267">
        <f>INDEX(Products_Catalog!$B$2:$B$151, MATCH(C267, Products_Catalog!$A$2:$A$151, 0))</f>
        <v/>
      </c>
      <c r="P267" s="13">
        <f>INDEX(Products_Catalog!$D$2:$D$151, MATCH(C267, Products_Catalog!$A$2:$A$151, 0))</f>
        <v/>
      </c>
      <c r="Q267" s="13">
        <f>I267-J267</f>
        <v/>
      </c>
      <c r="R267" s="15">
        <f>IF(K267&gt;20, "BREACH", "OK")</f>
        <v/>
      </c>
    </row>
    <row r="268">
      <c r="A268" t="inlineStr">
        <is>
          <t>ORD01229</t>
        </is>
      </c>
      <c r="B268" t="inlineStr">
        <is>
          <t>CUST0041</t>
        </is>
      </c>
      <c r="C268" t="inlineStr">
        <is>
          <t>PROD023</t>
        </is>
      </c>
      <c r="D268" t="inlineStr">
        <is>
          <t>STORE042</t>
        </is>
      </c>
      <c r="E268" t="inlineStr">
        <is>
          <t>DP035</t>
        </is>
      </c>
      <c r="F268" t="inlineStr">
        <is>
          <t>2025-01-02 18:11:00</t>
        </is>
      </c>
      <c r="G268" t="inlineStr">
        <is>
          <t>2025-01-02 18:32:00</t>
        </is>
      </c>
      <c r="H268" s="14" t="n">
        <v>9</v>
      </c>
      <c r="I268" s="13" t="n">
        <v>551.16</v>
      </c>
      <c r="J268" s="13" t="n">
        <v>84.64</v>
      </c>
      <c r="K268" s="16" t="n">
        <v>21</v>
      </c>
      <c r="L268" t="inlineStr">
        <is>
          <t>Cancelled</t>
        </is>
      </c>
      <c r="M268" t="inlineStr">
        <is>
          <t>PAY01</t>
        </is>
      </c>
      <c r="N268" t="inlineStr">
        <is>
          <t>Evening</t>
        </is>
      </c>
      <c r="O268">
        <f>INDEX(Products_Catalog!$B$2:$B$151, MATCH(C268, Products_Catalog!$A$2:$A$151, 0))</f>
        <v/>
      </c>
      <c r="P268" s="13">
        <f>INDEX(Products_Catalog!$D$2:$D$151, MATCH(C268, Products_Catalog!$A$2:$A$151, 0))</f>
        <v/>
      </c>
      <c r="Q268" s="13">
        <f>I268-J268</f>
        <v/>
      </c>
      <c r="R268" s="15">
        <f>IF(K268&gt;20, "BREACH", "OK")</f>
        <v/>
      </c>
    </row>
    <row r="269">
      <c r="A269" t="inlineStr">
        <is>
          <t>ORD01230</t>
        </is>
      </c>
      <c r="B269" t="inlineStr">
        <is>
          <t>CUST0049</t>
        </is>
      </c>
      <c r="C269" t="inlineStr">
        <is>
          <t>PROD047</t>
        </is>
      </c>
      <c r="D269" t="inlineStr">
        <is>
          <t>STORE023</t>
        </is>
      </c>
      <c r="E269" t="inlineStr">
        <is>
          <t>DP018</t>
        </is>
      </c>
      <c r="F269" t="inlineStr">
        <is>
          <t>2025-01-03 17:47:00</t>
        </is>
      </c>
      <c r="G269" t="inlineStr">
        <is>
          <t>2025-01-03 18:09:00</t>
        </is>
      </c>
      <c r="H269" s="14" t="n">
        <v>1</v>
      </c>
      <c r="I269" s="13" t="n">
        <v>198.1</v>
      </c>
      <c r="J269" s="13" t="n">
        <v>50.3</v>
      </c>
      <c r="K269" s="16" t="n">
        <v>22</v>
      </c>
      <c r="L269" t="inlineStr">
        <is>
          <t>Returned</t>
        </is>
      </c>
      <c r="M269" t="inlineStr">
        <is>
          <t>PAY05</t>
        </is>
      </c>
      <c r="N269" t="inlineStr">
        <is>
          <t>Evening</t>
        </is>
      </c>
      <c r="O269">
        <f>INDEX(Products_Catalog!$B$2:$B$151, MATCH(C269, Products_Catalog!$A$2:$A$151, 0))</f>
        <v/>
      </c>
      <c r="P269" s="13">
        <f>INDEX(Products_Catalog!$D$2:$D$151, MATCH(C269, Products_Catalog!$A$2:$A$151, 0))</f>
        <v/>
      </c>
      <c r="Q269" s="13">
        <f>I269-J269</f>
        <v/>
      </c>
      <c r="R269" s="15">
        <f>IF(K269&gt;20, "BREACH", "OK")</f>
        <v/>
      </c>
    </row>
    <row r="270">
      <c r="A270" t="inlineStr">
        <is>
          <t>ORD01231</t>
        </is>
      </c>
      <c r="B270" t="inlineStr">
        <is>
          <t>CUST0023</t>
        </is>
      </c>
      <c r="C270" t="inlineStr">
        <is>
          <t>PROD141</t>
        </is>
      </c>
      <c r="D270" t="inlineStr">
        <is>
          <t>STORE047</t>
        </is>
      </c>
      <c r="E270" t="inlineStr">
        <is>
          <t>DP004</t>
        </is>
      </c>
      <c r="F270" t="inlineStr">
        <is>
          <t>2025-02-01 14:33:00</t>
        </is>
      </c>
      <c r="G270" t="inlineStr">
        <is>
          <t>2025-02-01 14:56:00</t>
        </is>
      </c>
      <c r="H270" s="14" t="n">
        <v>1</v>
      </c>
      <c r="I270" s="13" t="n">
        <v>135.09</v>
      </c>
      <c r="J270" s="13" t="n">
        <v>31.89</v>
      </c>
      <c r="K270" s="16" t="n">
        <v>23</v>
      </c>
      <c r="L270" t="inlineStr">
        <is>
          <t>Cancelled</t>
        </is>
      </c>
      <c r="M270" t="inlineStr">
        <is>
          <t>PAY05</t>
        </is>
      </c>
      <c r="N270" t="inlineStr">
        <is>
          <t>Afternoon</t>
        </is>
      </c>
      <c r="O270">
        <f>INDEX(Products_Catalog!$B$2:$B$151, MATCH(C270, Products_Catalog!$A$2:$A$151, 0))</f>
        <v/>
      </c>
      <c r="P270" s="13">
        <f>INDEX(Products_Catalog!$D$2:$D$151, MATCH(C270, Products_Catalog!$A$2:$A$151, 0))</f>
        <v/>
      </c>
      <c r="Q270" s="13">
        <f>I270-J270</f>
        <v/>
      </c>
      <c r="R270" s="15">
        <f>IF(K270&gt;20, "BREACH", "OK")</f>
        <v/>
      </c>
    </row>
    <row r="271">
      <c r="A271" t="inlineStr">
        <is>
          <t>ORD01232</t>
        </is>
      </c>
      <c r="B271" t="inlineStr">
        <is>
          <t>CUST0022</t>
        </is>
      </c>
      <c r="C271" t="inlineStr">
        <is>
          <t>PROD112</t>
        </is>
      </c>
      <c r="D271" t="inlineStr">
        <is>
          <t>STORE033</t>
        </is>
      </c>
      <c r="E271" t="inlineStr">
        <is>
          <t>DP046</t>
        </is>
      </c>
      <c r="F271" t="inlineStr">
        <is>
          <t>2025-01-14 11:50:00</t>
        </is>
      </c>
      <c r="G271" t="inlineStr">
        <is>
          <t>2025-01-14 12:14:00</t>
        </is>
      </c>
      <c r="H271" s="14" t="n">
        <v>6</v>
      </c>
      <c r="I271" s="13" t="n">
        <v>1336.5</v>
      </c>
      <c r="J271" s="13" t="n">
        <v>237.03</v>
      </c>
      <c r="K271" s="16" t="n">
        <v>24</v>
      </c>
      <c r="L271" t="inlineStr">
        <is>
          <t>Delivered</t>
        </is>
      </c>
      <c r="M271" t="inlineStr">
        <is>
          <t>PAY04</t>
        </is>
      </c>
      <c r="N271" t="inlineStr">
        <is>
          <t>Morning</t>
        </is>
      </c>
      <c r="O271">
        <f>INDEX(Products_Catalog!$B$2:$B$151, MATCH(C271, Products_Catalog!$A$2:$A$151, 0))</f>
        <v/>
      </c>
      <c r="P271" s="13">
        <f>INDEX(Products_Catalog!$D$2:$D$151, MATCH(C271, Products_Catalog!$A$2:$A$151, 0))</f>
        <v/>
      </c>
      <c r="Q271" s="13">
        <f>I271-J271</f>
        <v/>
      </c>
      <c r="R271" s="15">
        <f>IF(K271&gt;20, "BREACH", "OK")</f>
        <v/>
      </c>
    </row>
    <row r="272">
      <c r="A272" t="inlineStr">
        <is>
          <t>ORD01233</t>
        </is>
      </c>
      <c r="B272" t="inlineStr">
        <is>
          <t>CUST0001</t>
        </is>
      </c>
      <c r="C272" t="inlineStr">
        <is>
          <t>PROD137</t>
        </is>
      </c>
      <c r="D272" t="inlineStr">
        <is>
          <t>STORE016</t>
        </is>
      </c>
      <c r="E272" t="inlineStr">
        <is>
          <t>DP001</t>
        </is>
      </c>
      <c r="F272" t="inlineStr">
        <is>
          <t>2025-03-01 09:25:00</t>
        </is>
      </c>
      <c r="G272" t="inlineStr">
        <is>
          <t>2025-03-01 09:50:00</t>
        </is>
      </c>
      <c r="H272" s="14" t="n">
        <v>2</v>
      </c>
      <c r="I272" s="13" t="n">
        <v>450.02</v>
      </c>
      <c r="J272" s="13" t="n">
        <v>31.94</v>
      </c>
      <c r="K272" s="16" t="n">
        <v>25</v>
      </c>
      <c r="L272" t="inlineStr">
        <is>
          <t>Cancelled</t>
        </is>
      </c>
      <c r="M272" t="inlineStr">
        <is>
          <t>PAY05</t>
        </is>
      </c>
      <c r="N272" t="inlineStr">
        <is>
          <t>Morning</t>
        </is>
      </c>
      <c r="O272">
        <f>INDEX(Products_Catalog!$B$2:$B$151, MATCH(C272, Products_Catalog!$A$2:$A$151, 0))</f>
        <v/>
      </c>
      <c r="P272" s="13">
        <f>INDEX(Products_Catalog!$D$2:$D$151, MATCH(C272, Products_Catalog!$A$2:$A$151, 0))</f>
        <v/>
      </c>
      <c r="Q272" s="13">
        <f>I272-J272</f>
        <v/>
      </c>
      <c r="R272" s="15">
        <f>IF(K272&gt;20, "BREACH", "OK")</f>
        <v/>
      </c>
    </row>
    <row r="273">
      <c r="A273" t="inlineStr">
        <is>
          <t>ORD01237</t>
        </is>
      </c>
      <c r="B273" t="inlineStr">
        <is>
          <t>CUST0045</t>
        </is>
      </c>
      <c r="C273" t="inlineStr">
        <is>
          <t>PROD047</t>
        </is>
      </c>
      <c r="D273" t="inlineStr">
        <is>
          <t>STORE002</t>
        </is>
      </c>
      <c r="E273" t="inlineStr">
        <is>
          <t>DP004</t>
        </is>
      </c>
      <c r="F273" t="inlineStr">
        <is>
          <t>2024-09-24 16:42:00</t>
        </is>
      </c>
      <c r="G273" t="inlineStr">
        <is>
          <t>2024-09-24 17:11:00</t>
        </is>
      </c>
      <c r="H273" s="14" t="n">
        <v>9</v>
      </c>
      <c r="I273" s="13" t="n">
        <v>3988.08</v>
      </c>
      <c r="J273" s="13" t="n">
        <v>806.84</v>
      </c>
      <c r="K273" s="16" t="n">
        <v>29</v>
      </c>
      <c r="L273" t="inlineStr">
        <is>
          <t>Cancelled</t>
        </is>
      </c>
      <c r="M273" t="inlineStr">
        <is>
          <t>PAY02</t>
        </is>
      </c>
      <c r="N273" t="inlineStr">
        <is>
          <t>Afternoon</t>
        </is>
      </c>
      <c r="O273">
        <f>INDEX(Products_Catalog!$B$2:$B$151, MATCH(C273, Products_Catalog!$A$2:$A$151, 0))</f>
        <v/>
      </c>
      <c r="P273" s="13">
        <f>INDEX(Products_Catalog!$D$2:$D$151, MATCH(C273, Products_Catalog!$A$2:$A$151, 0))</f>
        <v/>
      </c>
      <c r="Q273" s="13">
        <f>I273-J273</f>
        <v/>
      </c>
      <c r="R273" s="15">
        <f>IF(K273&gt;20, "BREACH", "OK")</f>
        <v/>
      </c>
    </row>
    <row r="274">
      <c r="A274" t="inlineStr">
        <is>
          <t>ORD01242</t>
        </is>
      </c>
      <c r="B274" t="inlineStr">
        <is>
          <t>CUST0032</t>
        </is>
      </c>
      <c r="C274" t="inlineStr">
        <is>
          <t>PROD079</t>
        </is>
      </c>
      <c r="D274" t="inlineStr">
        <is>
          <t>STORE015</t>
        </is>
      </c>
      <c r="E274" t="inlineStr">
        <is>
          <t>DP009</t>
        </is>
      </c>
      <c r="F274" t="inlineStr">
        <is>
          <t>2024-05-27 19:45:00</t>
        </is>
      </c>
      <c r="G274" t="inlineStr">
        <is>
          <t>2024-05-27 19:58:00</t>
        </is>
      </c>
      <c r="H274" s="14" t="n">
        <v>3</v>
      </c>
      <c r="I274" s="13" t="n">
        <v>605.25</v>
      </c>
      <c r="J274" s="13" t="n">
        <v>87.73</v>
      </c>
      <c r="K274" s="16" t="n">
        <v>13</v>
      </c>
      <c r="L274" t="inlineStr">
        <is>
          <t>Shipped</t>
        </is>
      </c>
      <c r="M274" t="inlineStr">
        <is>
          <t>PAY01</t>
        </is>
      </c>
      <c r="N274" t="inlineStr">
        <is>
          <t>Evening</t>
        </is>
      </c>
      <c r="O274">
        <f>INDEX(Products_Catalog!$B$2:$B$151, MATCH(C274, Products_Catalog!$A$2:$A$151, 0))</f>
        <v/>
      </c>
      <c r="P274" s="13">
        <f>INDEX(Products_Catalog!$D$2:$D$151, MATCH(C274, Products_Catalog!$A$2:$A$151, 0))</f>
        <v/>
      </c>
      <c r="Q274" s="13">
        <f>I274-J274</f>
        <v/>
      </c>
      <c r="R274" s="15">
        <f>IF(K274&gt;20, "BREACH", "OK")</f>
        <v/>
      </c>
    </row>
    <row r="275">
      <c r="A275" t="inlineStr">
        <is>
          <t>ORD01243</t>
        </is>
      </c>
      <c r="B275" t="inlineStr">
        <is>
          <t>CUST0033</t>
        </is>
      </c>
      <c r="C275" t="inlineStr">
        <is>
          <t>PROD001</t>
        </is>
      </c>
      <c r="D275" t="inlineStr">
        <is>
          <t>STORE012</t>
        </is>
      </c>
      <c r="E275" t="inlineStr">
        <is>
          <t>DP025</t>
        </is>
      </c>
      <c r="F275" t="inlineStr">
        <is>
          <t>2024-10-29 15:14:00</t>
        </is>
      </c>
      <c r="G275" t="inlineStr">
        <is>
          <t>2024-10-29 15:28:00</t>
        </is>
      </c>
      <c r="H275" s="14" t="n">
        <v>8</v>
      </c>
      <c r="I275" s="13" t="n">
        <v>1532.24</v>
      </c>
      <c r="J275" s="13" t="n">
        <v>408.21</v>
      </c>
      <c r="K275" s="16" t="n">
        <v>14</v>
      </c>
      <c r="L275" t="inlineStr">
        <is>
          <t>Returned</t>
        </is>
      </c>
      <c r="M275" t="inlineStr">
        <is>
          <t>PAY03</t>
        </is>
      </c>
      <c r="N275" t="inlineStr">
        <is>
          <t>Afternoon</t>
        </is>
      </c>
      <c r="O275">
        <f>INDEX(Products_Catalog!$B$2:$B$151, MATCH(C275, Products_Catalog!$A$2:$A$151, 0))</f>
        <v/>
      </c>
      <c r="P275" s="13">
        <f>INDEX(Products_Catalog!$D$2:$D$151, MATCH(C275, Products_Catalog!$A$2:$A$151, 0))</f>
        <v/>
      </c>
      <c r="Q275" s="13">
        <f>I275-J275</f>
        <v/>
      </c>
      <c r="R275" s="15">
        <f>IF(K275&gt;20, "BREACH", "OK")</f>
        <v/>
      </c>
    </row>
    <row r="276">
      <c r="A276" t="inlineStr">
        <is>
          <t>ORD01246</t>
        </is>
      </c>
      <c r="B276" t="inlineStr">
        <is>
          <t>CUST0024</t>
        </is>
      </c>
      <c r="C276" t="inlineStr">
        <is>
          <t>PROD102</t>
        </is>
      </c>
      <c r="D276" t="inlineStr">
        <is>
          <t>STORE004</t>
        </is>
      </c>
      <c r="E276" t="inlineStr">
        <is>
          <t>DP018</t>
        </is>
      </c>
      <c r="F276" t="inlineStr">
        <is>
          <t>2024-08-08 17:30:00</t>
        </is>
      </c>
      <c r="G276" t="inlineStr">
        <is>
          <t>2024-08-08 17:47:00</t>
        </is>
      </c>
      <c r="H276" s="14" t="n">
        <v>4</v>
      </c>
      <c r="I276" s="13" t="n">
        <v>1028.28</v>
      </c>
      <c r="J276" s="13" t="n">
        <v>113.55</v>
      </c>
      <c r="K276" s="16" t="n">
        <v>17</v>
      </c>
      <c r="L276" t="inlineStr">
        <is>
          <t>Cancelled</t>
        </is>
      </c>
      <c r="M276" t="inlineStr">
        <is>
          <t>PAY01</t>
        </is>
      </c>
      <c r="N276" t="inlineStr">
        <is>
          <t>Evening</t>
        </is>
      </c>
      <c r="O276">
        <f>INDEX(Products_Catalog!$B$2:$B$151, MATCH(C276, Products_Catalog!$A$2:$A$151, 0))</f>
        <v/>
      </c>
      <c r="P276" s="13">
        <f>INDEX(Products_Catalog!$D$2:$D$151, MATCH(C276, Products_Catalog!$A$2:$A$151, 0))</f>
        <v/>
      </c>
      <c r="Q276" s="13">
        <f>I276-J276</f>
        <v/>
      </c>
      <c r="R276" s="15">
        <f>IF(K276&gt;20, "BREACH", "OK")</f>
        <v/>
      </c>
    </row>
    <row r="277">
      <c r="A277" t="inlineStr">
        <is>
          <t>ORD01248</t>
        </is>
      </c>
      <c r="B277" t="inlineStr">
        <is>
          <t>CUST0048</t>
        </is>
      </c>
      <c r="C277" t="inlineStr">
        <is>
          <t>PROD089</t>
        </is>
      </c>
      <c r="D277" t="inlineStr">
        <is>
          <t>STORE011</t>
        </is>
      </c>
      <c r="E277" t="inlineStr">
        <is>
          <t>DP018</t>
        </is>
      </c>
      <c r="F277" t="inlineStr">
        <is>
          <t>2025-03-21 10:27:00</t>
        </is>
      </c>
      <c r="G277" t="inlineStr">
        <is>
          <t>2025-03-21 10:46:00</t>
        </is>
      </c>
      <c r="H277" s="14" t="n">
        <v>10</v>
      </c>
      <c r="I277" s="13" t="n">
        <v>4623.9</v>
      </c>
      <c r="J277" s="13" t="n">
        <v>392.74</v>
      </c>
      <c r="K277" s="16" t="n">
        <v>19</v>
      </c>
      <c r="L277" t="inlineStr">
        <is>
          <t>Shipped</t>
        </is>
      </c>
      <c r="M277" t="inlineStr">
        <is>
          <t>PAY03</t>
        </is>
      </c>
      <c r="N277" t="inlineStr">
        <is>
          <t>Morning</t>
        </is>
      </c>
      <c r="O277">
        <f>INDEX(Products_Catalog!$B$2:$B$151, MATCH(C277, Products_Catalog!$A$2:$A$151, 0))</f>
        <v/>
      </c>
      <c r="P277" s="13">
        <f>INDEX(Products_Catalog!$D$2:$D$151, MATCH(C277, Products_Catalog!$A$2:$A$151, 0))</f>
        <v/>
      </c>
      <c r="Q277" s="13">
        <f>I277-J277</f>
        <v/>
      </c>
      <c r="R277" s="15">
        <f>IF(K277&gt;20, "BREACH", "OK")</f>
        <v/>
      </c>
    </row>
    <row r="278">
      <c r="A278" t="inlineStr">
        <is>
          <t>ORD01251</t>
        </is>
      </c>
      <c r="B278" t="inlineStr">
        <is>
          <t>CUST0047</t>
        </is>
      </c>
      <c r="C278" t="inlineStr">
        <is>
          <t>PROD081</t>
        </is>
      </c>
      <c r="D278" t="inlineStr">
        <is>
          <t>STORE025</t>
        </is>
      </c>
      <c r="E278" t="inlineStr">
        <is>
          <t>DP012</t>
        </is>
      </c>
      <c r="F278" t="inlineStr">
        <is>
          <t>2025-01-24 12:23:00</t>
        </is>
      </c>
      <c r="G278" t="inlineStr">
        <is>
          <t>2025-01-24 12:39:00</t>
        </is>
      </c>
      <c r="H278" s="14" t="n">
        <v>4</v>
      </c>
      <c r="I278" s="13" t="n">
        <v>475.84</v>
      </c>
      <c r="J278" s="13" t="n">
        <v>50.91</v>
      </c>
      <c r="K278" s="16" t="n">
        <v>16</v>
      </c>
      <c r="L278" t="inlineStr">
        <is>
          <t>Shipped</t>
        </is>
      </c>
      <c r="M278" t="inlineStr">
        <is>
          <t>PAY05</t>
        </is>
      </c>
      <c r="N278" t="inlineStr">
        <is>
          <t>Afternoon</t>
        </is>
      </c>
      <c r="O278">
        <f>INDEX(Products_Catalog!$B$2:$B$151, MATCH(C278, Products_Catalog!$A$2:$A$151, 0))</f>
        <v/>
      </c>
      <c r="P278" s="13">
        <f>INDEX(Products_Catalog!$D$2:$D$151, MATCH(C278, Products_Catalog!$A$2:$A$151, 0))</f>
        <v/>
      </c>
      <c r="Q278" s="13">
        <f>I278-J278</f>
        <v/>
      </c>
      <c r="R278" s="15">
        <f>IF(K278&gt;20, "BREACH", "OK")</f>
        <v/>
      </c>
    </row>
    <row r="279">
      <c r="A279" t="inlineStr">
        <is>
          <t>ORD01252</t>
        </is>
      </c>
      <c r="B279" t="inlineStr">
        <is>
          <t>CUST0042</t>
        </is>
      </c>
      <c r="C279" t="inlineStr">
        <is>
          <t>PROD029</t>
        </is>
      </c>
      <c r="D279" t="inlineStr">
        <is>
          <t>STORE032</t>
        </is>
      </c>
      <c r="E279" t="inlineStr">
        <is>
          <t>DP015</t>
        </is>
      </c>
      <c r="F279" t="inlineStr">
        <is>
          <t>2024-04-27 15:11:00</t>
        </is>
      </c>
      <c r="G279" t="inlineStr">
        <is>
          <t>2024-04-27 15:28:00</t>
        </is>
      </c>
      <c r="H279" s="14" t="n">
        <v>9</v>
      </c>
      <c r="I279" s="13" t="n">
        <v>3121.92</v>
      </c>
      <c r="J279" s="13" t="n">
        <v>275.15</v>
      </c>
      <c r="K279" s="16" t="n">
        <v>17</v>
      </c>
      <c r="L279" t="inlineStr">
        <is>
          <t>Pending</t>
        </is>
      </c>
      <c r="M279" t="inlineStr">
        <is>
          <t>PAY02</t>
        </is>
      </c>
      <c r="N279" t="inlineStr">
        <is>
          <t>Afternoon</t>
        </is>
      </c>
      <c r="O279">
        <f>INDEX(Products_Catalog!$B$2:$B$151, MATCH(C279, Products_Catalog!$A$2:$A$151, 0))</f>
        <v/>
      </c>
      <c r="P279" s="13">
        <f>INDEX(Products_Catalog!$D$2:$D$151, MATCH(C279, Products_Catalog!$A$2:$A$151, 0))</f>
        <v/>
      </c>
      <c r="Q279" s="13">
        <f>I279-J279</f>
        <v/>
      </c>
      <c r="R279" s="15">
        <f>IF(K279&gt;20, "BREACH", "OK")</f>
        <v/>
      </c>
    </row>
    <row r="280">
      <c r="A280" t="inlineStr">
        <is>
          <t>ORD01253</t>
        </is>
      </c>
      <c r="B280" t="inlineStr">
        <is>
          <t>CUST0014</t>
        </is>
      </c>
      <c r="C280" t="inlineStr">
        <is>
          <t>PROD031</t>
        </is>
      </c>
      <c r="D280" t="inlineStr">
        <is>
          <t>STORE038</t>
        </is>
      </c>
      <c r="E280" t="inlineStr">
        <is>
          <t>DP032</t>
        </is>
      </c>
      <c r="F280" t="inlineStr">
        <is>
          <t>2024-08-06 10:13:00</t>
        </is>
      </c>
      <c r="G280" t="inlineStr">
        <is>
          <t>2024-08-06 10:31:00</t>
        </is>
      </c>
      <c r="H280" s="14" t="n">
        <v>9</v>
      </c>
      <c r="I280" s="13" t="n">
        <v>693.72</v>
      </c>
      <c r="J280" s="13" t="n">
        <v>116.36</v>
      </c>
      <c r="K280" s="16" t="n">
        <v>18</v>
      </c>
      <c r="L280" t="inlineStr">
        <is>
          <t>Pending</t>
        </is>
      </c>
      <c r="M280" t="inlineStr">
        <is>
          <t>PAY03</t>
        </is>
      </c>
      <c r="N280" t="inlineStr">
        <is>
          <t>Morning</t>
        </is>
      </c>
      <c r="O280">
        <f>INDEX(Products_Catalog!$B$2:$B$151, MATCH(C280, Products_Catalog!$A$2:$A$151, 0))</f>
        <v/>
      </c>
      <c r="P280" s="13">
        <f>INDEX(Products_Catalog!$D$2:$D$151, MATCH(C280, Products_Catalog!$A$2:$A$151, 0))</f>
        <v/>
      </c>
      <c r="Q280" s="13">
        <f>I280-J280</f>
        <v/>
      </c>
      <c r="R280" s="15">
        <f>IF(K280&gt;20, "BREACH", "OK")</f>
        <v/>
      </c>
    </row>
    <row r="281">
      <c r="A281" t="inlineStr">
        <is>
          <t>ORD01254</t>
        </is>
      </c>
      <c r="B281" t="inlineStr">
        <is>
          <t>CUST0038</t>
        </is>
      </c>
      <c r="C281" t="inlineStr">
        <is>
          <t>PROD145</t>
        </is>
      </c>
      <c r="D281" t="inlineStr">
        <is>
          <t>STORE040</t>
        </is>
      </c>
      <c r="E281" t="inlineStr">
        <is>
          <t>DP025</t>
        </is>
      </c>
      <c r="F281" t="inlineStr">
        <is>
          <t>2025-01-15 09:48:00</t>
        </is>
      </c>
      <c r="G281" t="inlineStr">
        <is>
          <t>2025-01-15 10:07:00</t>
        </is>
      </c>
      <c r="H281" s="14" t="n">
        <v>1</v>
      </c>
      <c r="I281" s="13" t="n">
        <v>143.2</v>
      </c>
      <c r="J281" s="13" t="n">
        <v>0.03</v>
      </c>
      <c r="K281" s="16" t="n">
        <v>19</v>
      </c>
      <c r="L281" t="inlineStr">
        <is>
          <t>Shipped</t>
        </is>
      </c>
      <c r="M281" t="inlineStr">
        <is>
          <t>PAY05</t>
        </is>
      </c>
      <c r="N281" t="inlineStr">
        <is>
          <t>Morning</t>
        </is>
      </c>
      <c r="O281">
        <f>INDEX(Products_Catalog!$B$2:$B$151, MATCH(C281, Products_Catalog!$A$2:$A$151, 0))</f>
        <v/>
      </c>
      <c r="P281" s="13">
        <f>INDEX(Products_Catalog!$D$2:$D$151, MATCH(C281, Products_Catalog!$A$2:$A$151, 0))</f>
        <v/>
      </c>
      <c r="Q281" s="13">
        <f>I281-J281</f>
        <v/>
      </c>
      <c r="R281" s="15">
        <f>IF(K281&gt;20, "BREACH", "OK")</f>
        <v/>
      </c>
    </row>
    <row r="282">
      <c r="A282" t="inlineStr">
        <is>
          <t>ORD01255</t>
        </is>
      </c>
      <c r="B282" t="inlineStr">
        <is>
          <t>CUST0023</t>
        </is>
      </c>
      <c r="C282" t="inlineStr">
        <is>
          <t>PROD035</t>
        </is>
      </c>
      <c r="D282" t="inlineStr">
        <is>
          <t>STORE037</t>
        </is>
      </c>
      <c r="E282" t="inlineStr">
        <is>
          <t>DP002</t>
        </is>
      </c>
      <c r="F282" t="inlineStr">
        <is>
          <t>2024-06-06 14:07:00</t>
        </is>
      </c>
      <c r="G282" t="inlineStr">
        <is>
          <t>2024-06-06 14:27:00</t>
        </is>
      </c>
      <c r="H282" s="14" t="n">
        <v>9</v>
      </c>
      <c r="I282" s="13" t="n">
        <v>4043.52</v>
      </c>
      <c r="J282" s="13" t="n">
        <v>617.4400000000001</v>
      </c>
      <c r="K282" s="16" t="n">
        <v>20</v>
      </c>
      <c r="L282" t="inlineStr">
        <is>
          <t>Cancelled</t>
        </is>
      </c>
      <c r="M282" t="inlineStr">
        <is>
          <t>PAY03</t>
        </is>
      </c>
      <c r="N282" t="inlineStr">
        <is>
          <t>Afternoon</t>
        </is>
      </c>
      <c r="O282">
        <f>INDEX(Products_Catalog!$B$2:$B$151, MATCH(C282, Products_Catalog!$A$2:$A$151, 0))</f>
        <v/>
      </c>
      <c r="P282" s="13">
        <f>INDEX(Products_Catalog!$D$2:$D$151, MATCH(C282, Products_Catalog!$A$2:$A$151, 0))</f>
        <v/>
      </c>
      <c r="Q282" s="13">
        <f>I282-J282</f>
        <v/>
      </c>
      <c r="R282" s="15">
        <f>IF(K282&gt;20, "BREACH", "OK")</f>
        <v/>
      </c>
    </row>
    <row r="283">
      <c r="A283" t="inlineStr">
        <is>
          <t>ORD01256</t>
        </is>
      </c>
      <c r="B283" t="inlineStr">
        <is>
          <t>CUST0011</t>
        </is>
      </c>
      <c r="C283" t="inlineStr">
        <is>
          <t>PROD135</t>
        </is>
      </c>
      <c r="D283" t="inlineStr">
        <is>
          <t>STORE017</t>
        </is>
      </c>
      <c r="E283" t="inlineStr">
        <is>
          <t>DP018</t>
        </is>
      </c>
      <c r="F283" t="inlineStr">
        <is>
          <t>2025-03-23 13:33:00</t>
        </is>
      </c>
      <c r="G283" t="inlineStr">
        <is>
          <t>2025-03-23 13:54:00</t>
        </is>
      </c>
      <c r="H283" s="14" t="n">
        <v>2</v>
      </c>
      <c r="I283" s="13" t="n">
        <v>528.9400000000001</v>
      </c>
      <c r="J283" s="13" t="n">
        <v>71.81</v>
      </c>
      <c r="K283" s="16" t="n">
        <v>21</v>
      </c>
      <c r="L283" t="inlineStr">
        <is>
          <t>Delivered</t>
        </is>
      </c>
      <c r="M283" t="inlineStr">
        <is>
          <t>PAY02</t>
        </is>
      </c>
      <c r="N283" t="inlineStr">
        <is>
          <t>Afternoon</t>
        </is>
      </c>
      <c r="O283">
        <f>INDEX(Products_Catalog!$B$2:$B$151, MATCH(C283, Products_Catalog!$A$2:$A$151, 0))</f>
        <v/>
      </c>
      <c r="P283" s="13">
        <f>INDEX(Products_Catalog!$D$2:$D$151, MATCH(C283, Products_Catalog!$A$2:$A$151, 0))</f>
        <v/>
      </c>
      <c r="Q283" s="13">
        <f>I283-J283</f>
        <v/>
      </c>
      <c r="R283" s="15">
        <f>IF(K283&gt;20, "BREACH", "OK")</f>
        <v/>
      </c>
    </row>
    <row r="284">
      <c r="A284" t="inlineStr">
        <is>
          <t>ORD01257</t>
        </is>
      </c>
      <c r="B284" t="inlineStr">
        <is>
          <t>CUST0003</t>
        </is>
      </c>
      <c r="C284" t="inlineStr">
        <is>
          <t>PROD048</t>
        </is>
      </c>
      <c r="D284" t="inlineStr">
        <is>
          <t>STORE001</t>
        </is>
      </c>
      <c r="E284" t="inlineStr">
        <is>
          <t>DP032</t>
        </is>
      </c>
      <c r="F284" t="inlineStr">
        <is>
          <t>2024-06-23 08:33:00</t>
        </is>
      </c>
      <c r="G284" t="inlineStr">
        <is>
          <t>2024-06-23 08:55:00</t>
        </is>
      </c>
      <c r="H284" s="14" t="n">
        <v>5</v>
      </c>
      <c r="I284" s="13" t="n">
        <v>2053.85</v>
      </c>
      <c r="J284" s="13" t="n">
        <v>507.15</v>
      </c>
      <c r="K284" s="16" t="n">
        <v>22</v>
      </c>
      <c r="L284" t="inlineStr">
        <is>
          <t>Returned</t>
        </is>
      </c>
      <c r="M284" t="inlineStr">
        <is>
          <t>PAY03</t>
        </is>
      </c>
      <c r="N284" t="inlineStr">
        <is>
          <t>Morning</t>
        </is>
      </c>
      <c r="O284">
        <f>INDEX(Products_Catalog!$B$2:$B$151, MATCH(C284, Products_Catalog!$A$2:$A$151, 0))</f>
        <v/>
      </c>
      <c r="P284" s="13">
        <f>INDEX(Products_Catalog!$D$2:$D$151, MATCH(C284, Products_Catalog!$A$2:$A$151, 0))</f>
        <v/>
      </c>
      <c r="Q284" s="13">
        <f>I284-J284</f>
        <v/>
      </c>
      <c r="R284" s="15">
        <f>IF(K284&gt;20, "BREACH", "OK")</f>
        <v/>
      </c>
    </row>
    <row r="285">
      <c r="A285" t="inlineStr">
        <is>
          <t>ORD01258</t>
        </is>
      </c>
      <c r="B285" t="inlineStr">
        <is>
          <t>CUST0044</t>
        </is>
      </c>
      <c r="C285" t="inlineStr">
        <is>
          <t>PROD083</t>
        </is>
      </c>
      <c r="D285" t="inlineStr">
        <is>
          <t>STORE039</t>
        </is>
      </c>
      <c r="E285" t="inlineStr">
        <is>
          <t>DP042</t>
        </is>
      </c>
      <c r="F285" t="inlineStr">
        <is>
          <t>2024-05-26 16:07:00</t>
        </is>
      </c>
      <c r="G285" t="inlineStr">
        <is>
          <t>2024-05-26 16:30:00</t>
        </is>
      </c>
      <c r="H285" s="14" t="n">
        <v>6</v>
      </c>
      <c r="I285" s="13" t="n">
        <v>2448.12</v>
      </c>
      <c r="J285" s="13" t="n">
        <v>676.79</v>
      </c>
      <c r="K285" s="16" t="n">
        <v>23</v>
      </c>
      <c r="L285" t="inlineStr">
        <is>
          <t>Delivered</t>
        </is>
      </c>
      <c r="M285" t="inlineStr">
        <is>
          <t>PAY03</t>
        </is>
      </c>
      <c r="N285" t="inlineStr">
        <is>
          <t>Afternoon</t>
        </is>
      </c>
      <c r="O285">
        <f>INDEX(Products_Catalog!$B$2:$B$151, MATCH(C285, Products_Catalog!$A$2:$A$151, 0))</f>
        <v/>
      </c>
      <c r="P285" s="13">
        <f>INDEX(Products_Catalog!$D$2:$D$151, MATCH(C285, Products_Catalog!$A$2:$A$151, 0))</f>
        <v/>
      </c>
      <c r="Q285" s="13">
        <f>I285-J285</f>
        <v/>
      </c>
      <c r="R285" s="15">
        <f>IF(K285&gt;20, "BREACH", "OK")</f>
        <v/>
      </c>
    </row>
    <row r="286">
      <c r="A286" t="inlineStr">
        <is>
          <t>ORD01260</t>
        </is>
      </c>
      <c r="B286" t="inlineStr">
        <is>
          <t>CUST0003</t>
        </is>
      </c>
      <c r="C286" t="inlineStr">
        <is>
          <t>PROD053</t>
        </is>
      </c>
      <c r="D286" t="inlineStr">
        <is>
          <t>STORE015</t>
        </is>
      </c>
      <c r="E286" t="inlineStr">
        <is>
          <t>DP032</t>
        </is>
      </c>
      <c r="F286" t="inlineStr">
        <is>
          <t>2024-04-09 12:32:00</t>
        </is>
      </c>
      <c r="G286" t="inlineStr">
        <is>
          <t>2024-04-09 12:57:00</t>
        </is>
      </c>
      <c r="H286" s="14" t="n">
        <v>7</v>
      </c>
      <c r="I286" s="13" t="n">
        <v>2101.89</v>
      </c>
      <c r="J286" s="13" t="n">
        <v>395.44</v>
      </c>
      <c r="K286" s="16" t="n">
        <v>25</v>
      </c>
      <c r="L286" t="inlineStr">
        <is>
          <t>Returned</t>
        </is>
      </c>
      <c r="M286" t="inlineStr">
        <is>
          <t>PAY01</t>
        </is>
      </c>
      <c r="N286" t="inlineStr">
        <is>
          <t>Afternoon</t>
        </is>
      </c>
      <c r="O286">
        <f>INDEX(Products_Catalog!$B$2:$B$151, MATCH(C286, Products_Catalog!$A$2:$A$151, 0))</f>
        <v/>
      </c>
      <c r="P286" s="13">
        <f>INDEX(Products_Catalog!$D$2:$D$151, MATCH(C286, Products_Catalog!$A$2:$A$151, 0))</f>
        <v/>
      </c>
      <c r="Q286" s="13">
        <f>I286-J286</f>
        <v/>
      </c>
      <c r="R286" s="15">
        <f>IF(K286&gt;20, "BREACH", "OK")</f>
        <v/>
      </c>
    </row>
    <row r="287">
      <c r="A287" t="inlineStr">
        <is>
          <t>ORD01261</t>
        </is>
      </c>
      <c r="B287" t="inlineStr">
        <is>
          <t>CUST0004</t>
        </is>
      </c>
      <c r="C287" t="inlineStr">
        <is>
          <t>PROD044</t>
        </is>
      </c>
      <c r="D287" t="inlineStr">
        <is>
          <t>STORE045</t>
        </is>
      </c>
      <c r="E287" t="inlineStr">
        <is>
          <t>DP037</t>
        </is>
      </c>
      <c r="F287" t="inlineStr">
        <is>
          <t>2025-04-25 15:13:00</t>
        </is>
      </c>
      <c r="G287" t="inlineStr">
        <is>
          <t>2025-04-25 15:39:00</t>
        </is>
      </c>
      <c r="H287" s="14" t="n">
        <v>5</v>
      </c>
      <c r="I287" s="13" t="n">
        <v>858.35</v>
      </c>
      <c r="J287" s="13" t="n">
        <v>142.46</v>
      </c>
      <c r="K287" s="16" t="n">
        <v>26</v>
      </c>
      <c r="L287" t="inlineStr">
        <is>
          <t>Delivered</t>
        </is>
      </c>
      <c r="M287" t="inlineStr">
        <is>
          <t>PAY01</t>
        </is>
      </c>
      <c r="N287" t="inlineStr">
        <is>
          <t>Afternoon</t>
        </is>
      </c>
      <c r="O287">
        <f>INDEX(Products_Catalog!$B$2:$B$151, MATCH(C287, Products_Catalog!$A$2:$A$151, 0))</f>
        <v/>
      </c>
      <c r="P287" s="13">
        <f>INDEX(Products_Catalog!$D$2:$D$151, MATCH(C287, Products_Catalog!$A$2:$A$151, 0))</f>
        <v/>
      </c>
      <c r="Q287" s="13">
        <f>I287-J287</f>
        <v/>
      </c>
      <c r="R287" s="15">
        <f>IF(K287&gt;20, "BREACH", "OK")</f>
        <v/>
      </c>
    </row>
    <row r="288">
      <c r="A288" t="inlineStr">
        <is>
          <t>ORD01263</t>
        </is>
      </c>
      <c r="B288" t="inlineStr">
        <is>
          <t>CUST0008</t>
        </is>
      </c>
      <c r="C288" t="inlineStr">
        <is>
          <t>PROD017</t>
        </is>
      </c>
      <c r="D288" t="inlineStr">
        <is>
          <t>STORE049</t>
        </is>
      </c>
      <c r="E288" t="inlineStr">
        <is>
          <t>DP005</t>
        </is>
      </c>
      <c r="F288" t="inlineStr">
        <is>
          <t>2024-02-29 08:50:00</t>
        </is>
      </c>
      <c r="G288" t="inlineStr">
        <is>
          <t>2024-02-29 09:18:00</t>
        </is>
      </c>
      <c r="H288" s="14" t="n">
        <v>1</v>
      </c>
      <c r="I288" s="13" t="n">
        <v>184.27</v>
      </c>
      <c r="J288" s="13" t="n">
        <v>18.94</v>
      </c>
      <c r="K288" s="16" t="n">
        <v>28</v>
      </c>
      <c r="L288" t="inlineStr">
        <is>
          <t>Cancelled</t>
        </is>
      </c>
      <c r="M288" t="inlineStr">
        <is>
          <t>PAY04</t>
        </is>
      </c>
      <c r="N288" t="inlineStr">
        <is>
          <t>Morning</t>
        </is>
      </c>
      <c r="O288">
        <f>INDEX(Products_Catalog!$B$2:$B$151, MATCH(C288, Products_Catalog!$A$2:$A$151, 0))</f>
        <v/>
      </c>
      <c r="P288" s="13">
        <f>INDEX(Products_Catalog!$D$2:$D$151, MATCH(C288, Products_Catalog!$A$2:$A$151, 0))</f>
        <v/>
      </c>
      <c r="Q288" s="13">
        <f>I288-J288</f>
        <v/>
      </c>
      <c r="R288" s="15">
        <f>IF(K288&gt;20, "BREACH", "OK")</f>
        <v/>
      </c>
    </row>
    <row r="289">
      <c r="A289" t="inlineStr">
        <is>
          <t>ORD01265</t>
        </is>
      </c>
      <c r="B289" t="inlineStr">
        <is>
          <t>CUST0048</t>
        </is>
      </c>
      <c r="C289" t="inlineStr">
        <is>
          <t>PROD113</t>
        </is>
      </c>
      <c r="D289" t="inlineStr">
        <is>
          <t>STORE046</t>
        </is>
      </c>
      <c r="E289" t="inlineStr">
        <is>
          <t>DP050</t>
        </is>
      </c>
      <c r="F289" t="inlineStr">
        <is>
          <t>2025-03-06 07:33:00</t>
        </is>
      </c>
      <c r="G289" t="inlineStr">
        <is>
          <t>2025-03-06 08:03:00</t>
        </is>
      </c>
      <c r="H289" s="14" t="n">
        <v>7</v>
      </c>
      <c r="I289" s="13" t="n">
        <v>1665.37</v>
      </c>
      <c r="J289" s="13" t="n">
        <v>493.6</v>
      </c>
      <c r="K289" s="16" t="n">
        <v>30</v>
      </c>
      <c r="L289" t="inlineStr">
        <is>
          <t>Pending</t>
        </is>
      </c>
      <c r="M289" t="inlineStr">
        <is>
          <t>PAY02</t>
        </is>
      </c>
      <c r="N289" t="inlineStr">
        <is>
          <t>Morning</t>
        </is>
      </c>
      <c r="O289">
        <f>INDEX(Products_Catalog!$B$2:$B$151, MATCH(C289, Products_Catalog!$A$2:$A$151, 0))</f>
        <v/>
      </c>
      <c r="P289" s="13">
        <f>INDEX(Products_Catalog!$D$2:$D$151, MATCH(C289, Products_Catalog!$A$2:$A$151, 0))</f>
        <v/>
      </c>
      <c r="Q289" s="13">
        <f>I289-J289</f>
        <v/>
      </c>
      <c r="R289" s="15">
        <f>IF(K289&gt;20, "BREACH", "OK")</f>
        <v/>
      </c>
    </row>
    <row r="290">
      <c r="A290" t="inlineStr">
        <is>
          <t>ORD01266</t>
        </is>
      </c>
      <c r="B290" t="inlineStr">
        <is>
          <t>CUST0030</t>
        </is>
      </c>
      <c r="C290" t="inlineStr">
        <is>
          <t>PROD094</t>
        </is>
      </c>
      <c r="D290" t="inlineStr">
        <is>
          <t>STORE014</t>
        </is>
      </c>
      <c r="E290" t="inlineStr">
        <is>
          <t>DP025</t>
        </is>
      </c>
      <c r="F290" t="inlineStr">
        <is>
          <t>2025-03-21 09:03:00</t>
        </is>
      </c>
      <c r="G290" t="inlineStr">
        <is>
          <t>2025-03-21 09:13:00</t>
        </is>
      </c>
      <c r="H290" s="14" t="n">
        <v>10</v>
      </c>
      <c r="I290" s="13" t="n">
        <v>1246.6</v>
      </c>
      <c r="J290" s="13" t="n">
        <v>337.31</v>
      </c>
      <c r="K290" s="16" t="n">
        <v>10</v>
      </c>
      <c r="L290" t="inlineStr">
        <is>
          <t>Shipped</t>
        </is>
      </c>
      <c r="M290" t="inlineStr">
        <is>
          <t>PAY01</t>
        </is>
      </c>
      <c r="N290" t="inlineStr">
        <is>
          <t>Morning</t>
        </is>
      </c>
      <c r="O290">
        <f>INDEX(Products_Catalog!$B$2:$B$151, MATCH(C290, Products_Catalog!$A$2:$A$151, 0))</f>
        <v/>
      </c>
      <c r="P290" s="13">
        <f>INDEX(Products_Catalog!$D$2:$D$151, MATCH(C290, Products_Catalog!$A$2:$A$151, 0))</f>
        <v/>
      </c>
      <c r="Q290" s="13">
        <f>I290-J290</f>
        <v/>
      </c>
      <c r="R290" s="15">
        <f>IF(K290&gt;20, "BREACH", "OK")</f>
        <v/>
      </c>
    </row>
    <row r="291">
      <c r="A291" t="inlineStr">
        <is>
          <t>ORD01267</t>
        </is>
      </c>
      <c r="B291" t="inlineStr">
        <is>
          <t>CUST0027</t>
        </is>
      </c>
      <c r="C291" t="inlineStr">
        <is>
          <t>PROD003</t>
        </is>
      </c>
      <c r="D291" t="inlineStr">
        <is>
          <t>STORE010</t>
        </is>
      </c>
      <c r="E291" t="inlineStr">
        <is>
          <t>DP007</t>
        </is>
      </c>
      <c r="F291" t="inlineStr">
        <is>
          <t>2025-05-17 14:50:00</t>
        </is>
      </c>
      <c r="G291" t="inlineStr">
        <is>
          <t>2025-05-17 15:01:00</t>
        </is>
      </c>
      <c r="H291" s="14" t="n">
        <v>3</v>
      </c>
      <c r="I291" s="13" t="n">
        <v>239.88</v>
      </c>
      <c r="J291" s="13" t="n">
        <v>3.34</v>
      </c>
      <c r="K291" s="16" t="n">
        <v>11</v>
      </c>
      <c r="L291" t="inlineStr">
        <is>
          <t>Shipped</t>
        </is>
      </c>
      <c r="M291" t="inlineStr">
        <is>
          <t>PAY02</t>
        </is>
      </c>
      <c r="N291" t="inlineStr">
        <is>
          <t>Afternoon</t>
        </is>
      </c>
      <c r="O291">
        <f>INDEX(Products_Catalog!$B$2:$B$151, MATCH(C291, Products_Catalog!$A$2:$A$151, 0))</f>
        <v/>
      </c>
      <c r="P291" s="13">
        <f>INDEX(Products_Catalog!$D$2:$D$151, MATCH(C291, Products_Catalog!$A$2:$A$151, 0))</f>
        <v/>
      </c>
      <c r="Q291" s="13">
        <f>I291-J291</f>
        <v/>
      </c>
      <c r="R291" s="15">
        <f>IF(K291&gt;20, "BREACH", "OK")</f>
        <v/>
      </c>
    </row>
    <row r="292">
      <c r="A292" t="inlineStr">
        <is>
          <t>ORD01270</t>
        </is>
      </c>
      <c r="B292" t="inlineStr">
        <is>
          <t>CUST0014</t>
        </is>
      </c>
      <c r="C292" t="inlineStr">
        <is>
          <t>PROD116</t>
        </is>
      </c>
      <c r="D292" t="inlineStr">
        <is>
          <t>STORE013</t>
        </is>
      </c>
      <c r="E292" t="inlineStr">
        <is>
          <t>DP050</t>
        </is>
      </c>
      <c r="F292" t="inlineStr">
        <is>
          <t>2025-02-27 18:50:00</t>
        </is>
      </c>
      <c r="G292" t="inlineStr">
        <is>
          <t>2025-02-27 19:08:00</t>
        </is>
      </c>
      <c r="H292" s="14" t="n">
        <v>1</v>
      </c>
      <c r="I292" s="13" t="n">
        <v>360.65</v>
      </c>
      <c r="J292" s="13" t="n">
        <v>52.76</v>
      </c>
      <c r="K292" s="16" t="n">
        <v>18</v>
      </c>
      <c r="L292" t="inlineStr">
        <is>
          <t>Pending</t>
        </is>
      </c>
      <c r="M292" t="inlineStr">
        <is>
          <t>PAY01</t>
        </is>
      </c>
      <c r="N292" t="inlineStr">
        <is>
          <t>Evening</t>
        </is>
      </c>
      <c r="O292">
        <f>INDEX(Products_Catalog!$B$2:$B$151, MATCH(C292, Products_Catalog!$A$2:$A$151, 0))</f>
        <v/>
      </c>
      <c r="P292" s="13">
        <f>INDEX(Products_Catalog!$D$2:$D$151, MATCH(C292, Products_Catalog!$A$2:$A$151, 0))</f>
        <v/>
      </c>
      <c r="Q292" s="13">
        <f>I292-J292</f>
        <v/>
      </c>
      <c r="R292" s="15">
        <f>IF(K292&gt;20, "BREACH", "OK")</f>
        <v/>
      </c>
    </row>
    <row r="293">
      <c r="A293" t="inlineStr">
        <is>
          <t>ORD01271</t>
        </is>
      </c>
      <c r="B293" t="inlineStr">
        <is>
          <t>CUST0043</t>
        </is>
      </c>
      <c r="C293" t="inlineStr">
        <is>
          <t>PROD119</t>
        </is>
      </c>
      <c r="D293" t="inlineStr">
        <is>
          <t>STORE046</t>
        </is>
      </c>
      <c r="E293" t="inlineStr">
        <is>
          <t>DP032</t>
        </is>
      </c>
      <c r="F293" t="inlineStr">
        <is>
          <t>2024-08-09 10:09:00</t>
        </is>
      </c>
      <c r="G293" t="inlineStr">
        <is>
          <t>2024-08-09 10:28:00</t>
        </is>
      </c>
      <c r="H293" s="14" t="n">
        <v>1</v>
      </c>
      <c r="I293" s="13" t="n">
        <v>431.47</v>
      </c>
      <c r="J293" s="13" t="n">
        <v>82.08</v>
      </c>
      <c r="K293" s="16" t="n">
        <v>19</v>
      </c>
      <c r="L293" t="inlineStr">
        <is>
          <t>Delivered</t>
        </is>
      </c>
      <c r="M293" t="inlineStr">
        <is>
          <t>PAY02</t>
        </is>
      </c>
      <c r="N293" t="inlineStr">
        <is>
          <t>Morning</t>
        </is>
      </c>
      <c r="O293">
        <f>INDEX(Products_Catalog!$B$2:$B$151, MATCH(C293, Products_Catalog!$A$2:$A$151, 0))</f>
        <v/>
      </c>
      <c r="P293" s="13">
        <f>INDEX(Products_Catalog!$D$2:$D$151, MATCH(C293, Products_Catalog!$A$2:$A$151, 0))</f>
        <v/>
      </c>
      <c r="Q293" s="13">
        <f>I293-J293</f>
        <v/>
      </c>
      <c r="R293" s="15">
        <f>IF(K293&gt;20, "BREACH", "OK")</f>
        <v/>
      </c>
    </row>
    <row r="294">
      <c r="A294" t="inlineStr">
        <is>
          <t>ORD01272</t>
        </is>
      </c>
      <c r="B294" t="inlineStr">
        <is>
          <t>CUST0028</t>
        </is>
      </c>
      <c r="C294" t="inlineStr">
        <is>
          <t>PROD034</t>
        </is>
      </c>
      <c r="D294" t="inlineStr">
        <is>
          <t>STORE031</t>
        </is>
      </c>
      <c r="E294" t="inlineStr">
        <is>
          <t>DP034</t>
        </is>
      </c>
      <c r="F294" t="inlineStr">
        <is>
          <t>2025-04-21 09:34:00</t>
        </is>
      </c>
      <c r="G294" t="inlineStr">
        <is>
          <t>2025-04-21 09:54:00</t>
        </is>
      </c>
      <c r="H294" s="14" t="n">
        <v>3</v>
      </c>
      <c r="I294" s="13" t="n">
        <v>1151.19</v>
      </c>
      <c r="J294" s="13" t="n">
        <v>86.36</v>
      </c>
      <c r="K294" s="16" t="n">
        <v>20</v>
      </c>
      <c r="L294" t="inlineStr">
        <is>
          <t>Delivered</t>
        </is>
      </c>
      <c r="M294" t="inlineStr">
        <is>
          <t>PAY02</t>
        </is>
      </c>
      <c r="N294" t="inlineStr">
        <is>
          <t>Morning</t>
        </is>
      </c>
      <c r="O294">
        <f>INDEX(Products_Catalog!$B$2:$B$151, MATCH(C294, Products_Catalog!$A$2:$A$151, 0))</f>
        <v/>
      </c>
      <c r="P294" s="13">
        <f>INDEX(Products_Catalog!$D$2:$D$151, MATCH(C294, Products_Catalog!$A$2:$A$151, 0))</f>
        <v/>
      </c>
      <c r="Q294" s="13">
        <f>I294-J294</f>
        <v/>
      </c>
      <c r="R294" s="15">
        <f>IF(K294&gt;20, "BREACH", "OK")</f>
        <v/>
      </c>
    </row>
    <row r="295">
      <c r="A295" t="inlineStr">
        <is>
          <t>ORD01273</t>
        </is>
      </c>
      <c r="B295" t="inlineStr">
        <is>
          <t>CUST0024</t>
        </is>
      </c>
      <c r="C295" t="inlineStr">
        <is>
          <t>PROD149</t>
        </is>
      </c>
      <c r="D295" t="inlineStr">
        <is>
          <t>STORE028</t>
        </is>
      </c>
      <c r="E295" t="inlineStr">
        <is>
          <t>DP029</t>
        </is>
      </c>
      <c r="F295" t="inlineStr">
        <is>
          <t>2024-10-23 10:39:00</t>
        </is>
      </c>
      <c r="G295" t="inlineStr">
        <is>
          <t>2024-10-23 11:00:00</t>
        </is>
      </c>
      <c r="H295" s="14" t="n">
        <v>10</v>
      </c>
      <c r="I295" s="13" t="n">
        <v>2779.8</v>
      </c>
      <c r="J295" s="13" t="n">
        <v>571.1799999999999</v>
      </c>
      <c r="K295" s="16" t="n">
        <v>21</v>
      </c>
      <c r="L295" t="inlineStr">
        <is>
          <t>Delivered</t>
        </is>
      </c>
      <c r="M295" t="inlineStr">
        <is>
          <t>PAY04</t>
        </is>
      </c>
      <c r="N295" t="inlineStr">
        <is>
          <t>Morning</t>
        </is>
      </c>
      <c r="O295">
        <f>INDEX(Products_Catalog!$B$2:$B$151, MATCH(C295, Products_Catalog!$A$2:$A$151, 0))</f>
        <v/>
      </c>
      <c r="P295" s="13">
        <f>INDEX(Products_Catalog!$D$2:$D$151, MATCH(C295, Products_Catalog!$A$2:$A$151, 0))</f>
        <v/>
      </c>
      <c r="Q295" s="13">
        <f>I295-J295</f>
        <v/>
      </c>
      <c r="R295" s="15">
        <f>IF(K295&gt;20, "BREACH", "OK")</f>
        <v/>
      </c>
    </row>
    <row r="296">
      <c r="A296" t="inlineStr">
        <is>
          <t>ORD01274</t>
        </is>
      </c>
      <c r="B296" t="inlineStr">
        <is>
          <t>CUST0044</t>
        </is>
      </c>
      <c r="C296" t="inlineStr">
        <is>
          <t>PROD134</t>
        </is>
      </c>
      <c r="D296" t="inlineStr">
        <is>
          <t>STORE046</t>
        </is>
      </c>
      <c r="E296" t="inlineStr">
        <is>
          <t>DP048</t>
        </is>
      </c>
      <c r="F296" t="inlineStr">
        <is>
          <t>2025-05-04 12:08:00</t>
        </is>
      </c>
      <c r="G296" t="inlineStr">
        <is>
          <t>2025-05-04 12:30:00</t>
        </is>
      </c>
      <c r="H296" s="14" t="n">
        <v>2</v>
      </c>
      <c r="I296" s="13" t="n">
        <v>891.74</v>
      </c>
      <c r="J296" s="13" t="n">
        <v>164.56</v>
      </c>
      <c r="K296" s="16" t="n">
        <v>22</v>
      </c>
      <c r="L296" t="inlineStr">
        <is>
          <t>Returned</t>
        </is>
      </c>
      <c r="M296" t="inlineStr">
        <is>
          <t>PAY04</t>
        </is>
      </c>
      <c r="N296" t="inlineStr">
        <is>
          <t>Afternoon</t>
        </is>
      </c>
      <c r="O296">
        <f>INDEX(Products_Catalog!$B$2:$B$151, MATCH(C296, Products_Catalog!$A$2:$A$151, 0))</f>
        <v/>
      </c>
      <c r="P296" s="13">
        <f>INDEX(Products_Catalog!$D$2:$D$151, MATCH(C296, Products_Catalog!$A$2:$A$151, 0))</f>
        <v/>
      </c>
      <c r="Q296" s="13">
        <f>I296-J296</f>
        <v/>
      </c>
      <c r="R296" s="15">
        <f>IF(K296&gt;20, "BREACH", "OK")</f>
        <v/>
      </c>
    </row>
    <row r="297">
      <c r="A297" t="inlineStr">
        <is>
          <t>ORD01275</t>
        </is>
      </c>
      <c r="B297" t="inlineStr">
        <is>
          <t>CUST0049</t>
        </is>
      </c>
      <c r="C297" t="inlineStr">
        <is>
          <t>PROD057</t>
        </is>
      </c>
      <c r="D297" t="inlineStr">
        <is>
          <t>STORE031</t>
        </is>
      </c>
      <c r="E297" t="inlineStr">
        <is>
          <t>DP034</t>
        </is>
      </c>
      <c r="F297" t="inlineStr">
        <is>
          <t>2024-04-05 12:50:00</t>
        </is>
      </c>
      <c r="G297" t="inlineStr">
        <is>
          <t>2024-04-05 13:13:00</t>
        </is>
      </c>
      <c r="H297" s="14" t="n">
        <v>8</v>
      </c>
      <c r="I297" s="13" t="n">
        <v>3626.16</v>
      </c>
      <c r="J297" s="13" t="n">
        <v>382.53</v>
      </c>
      <c r="K297" s="16" t="n">
        <v>23</v>
      </c>
      <c r="L297" t="inlineStr">
        <is>
          <t>Shipped</t>
        </is>
      </c>
      <c r="M297" t="inlineStr">
        <is>
          <t>PAY02</t>
        </is>
      </c>
      <c r="N297" t="inlineStr">
        <is>
          <t>Afternoon</t>
        </is>
      </c>
      <c r="O297">
        <f>INDEX(Products_Catalog!$B$2:$B$151, MATCH(C297, Products_Catalog!$A$2:$A$151, 0))</f>
        <v/>
      </c>
      <c r="P297" s="13">
        <f>INDEX(Products_Catalog!$D$2:$D$151, MATCH(C297, Products_Catalog!$A$2:$A$151, 0))</f>
        <v/>
      </c>
      <c r="Q297" s="13">
        <f>I297-J297</f>
        <v/>
      </c>
      <c r="R297" s="15">
        <f>IF(K297&gt;20, "BREACH", "OK")</f>
        <v/>
      </c>
    </row>
    <row r="298">
      <c r="A298" t="inlineStr">
        <is>
          <t>ORD01276</t>
        </is>
      </c>
      <c r="B298" t="inlineStr">
        <is>
          <t>CUST0022</t>
        </is>
      </c>
      <c r="C298" t="inlineStr">
        <is>
          <t>PROD064</t>
        </is>
      </c>
      <c r="D298" t="inlineStr">
        <is>
          <t>STORE006</t>
        </is>
      </c>
      <c r="E298" t="inlineStr">
        <is>
          <t>DP007</t>
        </is>
      </c>
      <c r="F298" t="inlineStr">
        <is>
          <t>2024-01-17 19:44:00</t>
        </is>
      </c>
      <c r="G298" t="inlineStr">
        <is>
          <t>2024-01-17 20:08:00</t>
        </is>
      </c>
      <c r="H298" s="14" t="n">
        <v>5</v>
      </c>
      <c r="I298" s="13" t="n">
        <v>1177.75</v>
      </c>
      <c r="J298" s="13" t="n">
        <v>139.47</v>
      </c>
      <c r="K298" s="16" t="n">
        <v>24</v>
      </c>
      <c r="L298" t="inlineStr">
        <is>
          <t>Shipped</t>
        </is>
      </c>
      <c r="M298" t="inlineStr">
        <is>
          <t>PAY04</t>
        </is>
      </c>
      <c r="N298" t="inlineStr">
        <is>
          <t>Evening</t>
        </is>
      </c>
      <c r="O298">
        <f>INDEX(Products_Catalog!$B$2:$B$151, MATCH(C298, Products_Catalog!$A$2:$A$151, 0))</f>
        <v/>
      </c>
      <c r="P298" s="13">
        <f>INDEX(Products_Catalog!$D$2:$D$151, MATCH(C298, Products_Catalog!$A$2:$A$151, 0))</f>
        <v/>
      </c>
      <c r="Q298" s="13">
        <f>I298-J298</f>
        <v/>
      </c>
      <c r="R298" s="15">
        <f>IF(K298&gt;20, "BREACH", "OK")</f>
        <v/>
      </c>
    </row>
    <row r="299">
      <c r="A299" t="inlineStr">
        <is>
          <t>ORD01277</t>
        </is>
      </c>
      <c r="B299" t="inlineStr">
        <is>
          <t>CUST0019</t>
        </is>
      </c>
      <c r="C299" t="inlineStr">
        <is>
          <t>PROD136</t>
        </is>
      </c>
      <c r="D299" t="inlineStr">
        <is>
          <t>STORE008</t>
        </is>
      </c>
      <c r="E299" t="inlineStr">
        <is>
          <t>DP041</t>
        </is>
      </c>
      <c r="F299" t="inlineStr">
        <is>
          <t>2025-01-16 18:41:00</t>
        </is>
      </c>
      <c r="G299" t="inlineStr">
        <is>
          <t>2025-01-16 19:06:00</t>
        </is>
      </c>
      <c r="H299" s="14" t="n">
        <v>8</v>
      </c>
      <c r="I299" s="13" t="n">
        <v>2509.84</v>
      </c>
      <c r="J299" s="13" t="n">
        <v>197.42</v>
      </c>
      <c r="K299" s="16" t="n">
        <v>25</v>
      </c>
      <c r="L299" t="inlineStr">
        <is>
          <t>Cancelled</t>
        </is>
      </c>
      <c r="M299" t="inlineStr">
        <is>
          <t>PAY03</t>
        </is>
      </c>
      <c r="N299" t="inlineStr">
        <is>
          <t>Evening</t>
        </is>
      </c>
      <c r="O299">
        <f>INDEX(Products_Catalog!$B$2:$B$151, MATCH(C299, Products_Catalog!$A$2:$A$151, 0))</f>
        <v/>
      </c>
      <c r="P299" s="13">
        <f>INDEX(Products_Catalog!$D$2:$D$151, MATCH(C299, Products_Catalog!$A$2:$A$151, 0))</f>
        <v/>
      </c>
      <c r="Q299" s="13">
        <f>I299-J299</f>
        <v/>
      </c>
      <c r="R299" s="15">
        <f>IF(K299&gt;20, "BREACH", "OK")</f>
        <v/>
      </c>
    </row>
    <row r="300">
      <c r="A300" t="inlineStr">
        <is>
          <t>ORD01278</t>
        </is>
      </c>
      <c r="B300" t="inlineStr">
        <is>
          <t>CUST0001</t>
        </is>
      </c>
      <c r="C300" t="inlineStr">
        <is>
          <t>PROD113</t>
        </is>
      </c>
      <c r="D300" t="inlineStr">
        <is>
          <t>STORE010</t>
        </is>
      </c>
      <c r="E300" t="inlineStr">
        <is>
          <t>DP046</t>
        </is>
      </c>
      <c r="F300" t="inlineStr">
        <is>
          <t>2024-11-19 16:05:00</t>
        </is>
      </c>
      <c r="G300" t="inlineStr">
        <is>
          <t>2024-11-19 16:31:00</t>
        </is>
      </c>
      <c r="H300" s="14" t="n">
        <v>5</v>
      </c>
      <c r="I300" s="13" t="n">
        <v>2091.95</v>
      </c>
      <c r="J300" s="13" t="n">
        <v>290.75</v>
      </c>
      <c r="K300" s="16" t="n">
        <v>26</v>
      </c>
      <c r="L300" t="inlineStr">
        <is>
          <t>Pending</t>
        </is>
      </c>
      <c r="M300" t="inlineStr">
        <is>
          <t>PAY03</t>
        </is>
      </c>
      <c r="N300" t="inlineStr">
        <is>
          <t>Afternoon</t>
        </is>
      </c>
      <c r="O300">
        <f>INDEX(Products_Catalog!$B$2:$B$151, MATCH(C300, Products_Catalog!$A$2:$A$151, 0))</f>
        <v/>
      </c>
      <c r="P300" s="13">
        <f>INDEX(Products_Catalog!$D$2:$D$151, MATCH(C300, Products_Catalog!$A$2:$A$151, 0))</f>
        <v/>
      </c>
      <c r="Q300" s="13">
        <f>I300-J300</f>
        <v/>
      </c>
      <c r="R300" s="15">
        <f>IF(K300&gt;20, "BREACH", "OK")</f>
        <v/>
      </c>
    </row>
    <row r="301">
      <c r="A301" t="inlineStr">
        <is>
          <t>ORD01279</t>
        </is>
      </c>
      <c r="B301" t="inlineStr">
        <is>
          <t>CUST0046</t>
        </is>
      </c>
      <c r="C301" t="inlineStr">
        <is>
          <t>PROD022</t>
        </is>
      </c>
      <c r="D301" t="inlineStr">
        <is>
          <t>STORE019</t>
        </is>
      </c>
      <c r="E301" t="inlineStr">
        <is>
          <t>DP007</t>
        </is>
      </c>
      <c r="F301" t="inlineStr">
        <is>
          <t>2024-06-28 13:08:00</t>
        </is>
      </c>
      <c r="G301" t="inlineStr">
        <is>
          <t>2024-06-28 13:35:00</t>
        </is>
      </c>
      <c r="H301" s="14" t="n">
        <v>1</v>
      </c>
      <c r="I301" s="13" t="n">
        <v>432.64</v>
      </c>
      <c r="J301" s="13" t="n">
        <v>55.97</v>
      </c>
      <c r="K301" s="16" t="n">
        <v>27</v>
      </c>
      <c r="L301" t="inlineStr">
        <is>
          <t>Returned</t>
        </is>
      </c>
      <c r="M301" t="inlineStr">
        <is>
          <t>PAY01</t>
        </is>
      </c>
      <c r="N301" t="inlineStr">
        <is>
          <t>Afternoon</t>
        </is>
      </c>
      <c r="O301">
        <f>INDEX(Products_Catalog!$B$2:$B$151, MATCH(C301, Products_Catalog!$A$2:$A$151, 0))</f>
        <v/>
      </c>
      <c r="P301" s="13">
        <f>INDEX(Products_Catalog!$D$2:$D$151, MATCH(C301, Products_Catalog!$A$2:$A$151, 0))</f>
        <v/>
      </c>
      <c r="Q301" s="13">
        <f>I301-J301</f>
        <v/>
      </c>
      <c r="R301" s="15">
        <f>IF(K301&gt;20, "BREACH", "OK")</f>
        <v/>
      </c>
    </row>
    <row r="302">
      <c r="A302" t="inlineStr">
        <is>
          <t>ORD01280</t>
        </is>
      </c>
      <c r="B302" t="inlineStr">
        <is>
          <t>CUST0034</t>
        </is>
      </c>
      <c r="C302" t="inlineStr">
        <is>
          <t>PROD005</t>
        </is>
      </c>
      <c r="D302" t="inlineStr">
        <is>
          <t>STORE044</t>
        </is>
      </c>
      <c r="E302" t="inlineStr">
        <is>
          <t>DP008</t>
        </is>
      </c>
      <c r="F302" t="inlineStr">
        <is>
          <t>2024-06-29 07:36:00</t>
        </is>
      </c>
      <c r="G302" t="inlineStr">
        <is>
          <t>2024-06-29 08:04:00</t>
        </is>
      </c>
      <c r="H302" s="14" t="n">
        <v>7</v>
      </c>
      <c r="I302" s="13" t="n">
        <v>390.74</v>
      </c>
      <c r="J302" s="13" t="n">
        <v>85.77</v>
      </c>
      <c r="K302" s="16" t="n">
        <v>28</v>
      </c>
      <c r="L302" t="inlineStr">
        <is>
          <t>Shipped</t>
        </is>
      </c>
      <c r="M302" t="inlineStr">
        <is>
          <t>PAY04</t>
        </is>
      </c>
      <c r="N302" t="inlineStr">
        <is>
          <t>Morning</t>
        </is>
      </c>
      <c r="O302">
        <f>INDEX(Products_Catalog!$B$2:$B$151, MATCH(C302, Products_Catalog!$A$2:$A$151, 0))</f>
        <v/>
      </c>
      <c r="P302" s="13">
        <f>INDEX(Products_Catalog!$D$2:$D$151, MATCH(C302, Products_Catalog!$A$2:$A$151, 0))</f>
        <v/>
      </c>
      <c r="Q302" s="13">
        <f>I302-J302</f>
        <v/>
      </c>
      <c r="R302" s="15">
        <f>IF(K302&gt;20, "BREACH", "OK")</f>
        <v/>
      </c>
    </row>
    <row r="303">
      <c r="A303" t="inlineStr">
        <is>
          <t>ORD01281</t>
        </is>
      </c>
      <c r="B303" t="inlineStr">
        <is>
          <t>CUST0007</t>
        </is>
      </c>
      <c r="C303" t="inlineStr">
        <is>
          <t>PROD048</t>
        </is>
      </c>
      <c r="D303" t="inlineStr">
        <is>
          <t>STORE039</t>
        </is>
      </c>
      <c r="E303" t="inlineStr">
        <is>
          <t>DP031</t>
        </is>
      </c>
      <c r="F303" t="inlineStr">
        <is>
          <t>2024-02-05 17:10:00</t>
        </is>
      </c>
      <c r="G303" t="inlineStr">
        <is>
          <t>2024-02-05 17:39:00</t>
        </is>
      </c>
      <c r="H303" s="14" t="n">
        <v>1</v>
      </c>
      <c r="I303" s="13" t="n">
        <v>175.74</v>
      </c>
      <c r="J303" s="13" t="n">
        <v>26.1</v>
      </c>
      <c r="K303" s="16" t="n">
        <v>29</v>
      </c>
      <c r="L303" t="inlineStr">
        <is>
          <t>Pending</t>
        </is>
      </c>
      <c r="M303" t="inlineStr">
        <is>
          <t>PAY05</t>
        </is>
      </c>
      <c r="N303" t="inlineStr">
        <is>
          <t>Evening</t>
        </is>
      </c>
      <c r="O303">
        <f>INDEX(Products_Catalog!$B$2:$B$151, MATCH(C303, Products_Catalog!$A$2:$A$151, 0))</f>
        <v/>
      </c>
      <c r="P303" s="13">
        <f>INDEX(Products_Catalog!$D$2:$D$151, MATCH(C303, Products_Catalog!$A$2:$A$151, 0))</f>
        <v/>
      </c>
      <c r="Q303" s="13">
        <f>I303-J303</f>
        <v/>
      </c>
      <c r="R303" s="15">
        <f>IF(K303&gt;20, "BREACH", "OK")</f>
        <v/>
      </c>
    </row>
    <row r="304">
      <c r="A304" t="inlineStr">
        <is>
          <t>ORD01282</t>
        </is>
      </c>
      <c r="B304" t="inlineStr">
        <is>
          <t>CUST0046</t>
        </is>
      </c>
      <c r="C304" t="inlineStr">
        <is>
          <t>PROD099</t>
        </is>
      </c>
      <c r="D304" t="inlineStr">
        <is>
          <t>STORE001</t>
        </is>
      </c>
      <c r="E304" t="inlineStr">
        <is>
          <t>DP039</t>
        </is>
      </c>
      <c r="F304" t="inlineStr">
        <is>
          <t>2024-12-04 10:37:00</t>
        </is>
      </c>
      <c r="G304" t="inlineStr">
        <is>
          <t>2024-12-04 11:07:00</t>
        </is>
      </c>
      <c r="H304" s="14" t="n">
        <v>6</v>
      </c>
      <c r="I304" s="13" t="n">
        <v>609.6</v>
      </c>
      <c r="J304" s="13" t="n">
        <v>146.99</v>
      </c>
      <c r="K304" s="16" t="n">
        <v>30</v>
      </c>
      <c r="L304" t="inlineStr">
        <is>
          <t>Shipped</t>
        </is>
      </c>
      <c r="M304" t="inlineStr">
        <is>
          <t>PAY05</t>
        </is>
      </c>
      <c r="N304" t="inlineStr">
        <is>
          <t>Morning</t>
        </is>
      </c>
      <c r="O304">
        <f>INDEX(Products_Catalog!$B$2:$B$151, MATCH(C304, Products_Catalog!$A$2:$A$151, 0))</f>
        <v/>
      </c>
      <c r="P304" s="13">
        <f>INDEX(Products_Catalog!$D$2:$D$151, MATCH(C304, Products_Catalog!$A$2:$A$151, 0))</f>
        <v/>
      </c>
      <c r="Q304" s="13">
        <f>I304-J304</f>
        <v/>
      </c>
      <c r="R304" s="15">
        <f>IF(K304&gt;20, "BREACH", "OK")</f>
        <v/>
      </c>
    </row>
    <row r="305">
      <c r="A305" t="inlineStr">
        <is>
          <t>ORD01283</t>
        </is>
      </c>
      <c r="B305" t="inlineStr">
        <is>
          <t>CUST0045</t>
        </is>
      </c>
      <c r="C305" t="inlineStr">
        <is>
          <t>PROD076</t>
        </is>
      </c>
      <c r="D305" t="inlineStr">
        <is>
          <t>STORE041</t>
        </is>
      </c>
      <c r="E305" t="inlineStr">
        <is>
          <t>DP013</t>
        </is>
      </c>
      <c r="F305" t="inlineStr">
        <is>
          <t>2024-07-22 17:13:00</t>
        </is>
      </c>
      <c r="G305" t="inlineStr">
        <is>
          <t>2024-07-22 17:23:00</t>
        </is>
      </c>
      <c r="H305" s="14" t="n">
        <v>7</v>
      </c>
      <c r="I305" s="13" t="n">
        <v>530.11</v>
      </c>
      <c r="J305" s="13" t="n">
        <v>110.35</v>
      </c>
      <c r="K305" s="16" t="n">
        <v>10</v>
      </c>
      <c r="L305" t="inlineStr">
        <is>
          <t>Delivered</t>
        </is>
      </c>
      <c r="M305" t="inlineStr">
        <is>
          <t>PAY04</t>
        </is>
      </c>
      <c r="N305" t="inlineStr">
        <is>
          <t>Evening</t>
        </is>
      </c>
      <c r="O305">
        <f>INDEX(Products_Catalog!$B$2:$B$151, MATCH(C305, Products_Catalog!$A$2:$A$151, 0))</f>
        <v/>
      </c>
      <c r="P305" s="13">
        <f>INDEX(Products_Catalog!$D$2:$D$151, MATCH(C305, Products_Catalog!$A$2:$A$151, 0))</f>
        <v/>
      </c>
      <c r="Q305" s="13">
        <f>I305-J305</f>
        <v/>
      </c>
      <c r="R305" s="15">
        <f>IF(K305&gt;20, "BREACH", "OK")</f>
        <v/>
      </c>
    </row>
    <row r="306">
      <c r="A306" t="inlineStr">
        <is>
          <t>ORD01284</t>
        </is>
      </c>
      <c r="B306" t="inlineStr">
        <is>
          <t>CUST0002</t>
        </is>
      </c>
      <c r="C306" t="inlineStr">
        <is>
          <t>PROD134</t>
        </is>
      </c>
      <c r="D306" t="inlineStr">
        <is>
          <t>STORE035</t>
        </is>
      </c>
      <c r="E306" t="inlineStr">
        <is>
          <t>DP048</t>
        </is>
      </c>
      <c r="F306" t="inlineStr">
        <is>
          <t>2024-05-14 15:07:00</t>
        </is>
      </c>
      <c r="G306" t="inlineStr">
        <is>
          <t>2024-05-14 15:18:00</t>
        </is>
      </c>
      <c r="H306" s="14" t="n">
        <v>3</v>
      </c>
      <c r="I306" s="13" t="n">
        <v>856.62</v>
      </c>
      <c r="J306" s="13" t="n">
        <v>117.2</v>
      </c>
      <c r="K306" s="16" t="n">
        <v>11</v>
      </c>
      <c r="L306" t="inlineStr">
        <is>
          <t>Pending</t>
        </is>
      </c>
      <c r="M306" t="inlineStr">
        <is>
          <t>PAY01</t>
        </is>
      </c>
      <c r="N306" t="inlineStr">
        <is>
          <t>Afternoon</t>
        </is>
      </c>
      <c r="O306">
        <f>INDEX(Products_Catalog!$B$2:$B$151, MATCH(C306, Products_Catalog!$A$2:$A$151, 0))</f>
        <v/>
      </c>
      <c r="P306" s="13">
        <f>INDEX(Products_Catalog!$D$2:$D$151, MATCH(C306, Products_Catalog!$A$2:$A$151, 0))</f>
        <v/>
      </c>
      <c r="Q306" s="13">
        <f>I306-J306</f>
        <v/>
      </c>
      <c r="R306" s="15">
        <f>IF(K306&gt;20, "BREACH", "OK")</f>
        <v/>
      </c>
    </row>
    <row r="307">
      <c r="A307" t="inlineStr">
        <is>
          <t>ORD01285</t>
        </is>
      </c>
      <c r="B307" t="inlineStr">
        <is>
          <t>CUST0042</t>
        </is>
      </c>
      <c r="C307" t="inlineStr">
        <is>
          <t>PROD089</t>
        </is>
      </c>
      <c r="D307" t="inlineStr">
        <is>
          <t>STORE018</t>
        </is>
      </c>
      <c r="E307" t="inlineStr">
        <is>
          <t>DP049</t>
        </is>
      </c>
      <c r="F307" t="inlineStr">
        <is>
          <t>2024-10-27 18:02:00</t>
        </is>
      </c>
      <c r="G307" t="inlineStr">
        <is>
          <t>2024-10-27 18:14:00</t>
        </is>
      </c>
      <c r="H307" s="14" t="n">
        <v>10</v>
      </c>
      <c r="I307" s="13" t="n">
        <v>2107.5</v>
      </c>
      <c r="J307" s="13" t="n">
        <v>533.01</v>
      </c>
      <c r="K307" s="16" t="n">
        <v>12</v>
      </c>
      <c r="L307" t="inlineStr">
        <is>
          <t>Shipped</t>
        </is>
      </c>
      <c r="M307" t="inlineStr">
        <is>
          <t>PAY05</t>
        </is>
      </c>
      <c r="N307" t="inlineStr">
        <is>
          <t>Evening</t>
        </is>
      </c>
      <c r="O307">
        <f>INDEX(Products_Catalog!$B$2:$B$151, MATCH(C307, Products_Catalog!$A$2:$A$151, 0))</f>
        <v/>
      </c>
      <c r="P307" s="13">
        <f>INDEX(Products_Catalog!$D$2:$D$151, MATCH(C307, Products_Catalog!$A$2:$A$151, 0))</f>
        <v/>
      </c>
      <c r="Q307" s="13">
        <f>I307-J307</f>
        <v/>
      </c>
      <c r="R307" s="15">
        <f>IF(K307&gt;20, "BREACH", "OK")</f>
        <v/>
      </c>
    </row>
    <row r="308">
      <c r="A308" t="inlineStr">
        <is>
          <t>ORD01288</t>
        </is>
      </c>
      <c r="B308" t="inlineStr">
        <is>
          <t>CUST0026</t>
        </is>
      </c>
      <c r="C308" t="inlineStr">
        <is>
          <t>PROD150</t>
        </is>
      </c>
      <c r="D308" t="inlineStr">
        <is>
          <t>STORE044</t>
        </is>
      </c>
      <c r="E308" t="inlineStr">
        <is>
          <t>DP001</t>
        </is>
      </c>
      <c r="F308" t="inlineStr">
        <is>
          <t>2024-08-15 19:41:00</t>
        </is>
      </c>
      <c r="G308" t="inlineStr">
        <is>
          <t>2024-08-15 19:56:00</t>
        </is>
      </c>
      <c r="H308" s="14" t="n">
        <v>6</v>
      </c>
      <c r="I308" s="13" t="n">
        <v>1710.84</v>
      </c>
      <c r="J308" s="13" t="n">
        <v>349.07</v>
      </c>
      <c r="K308" s="16" t="n">
        <v>15</v>
      </c>
      <c r="L308" t="inlineStr">
        <is>
          <t>Returned</t>
        </is>
      </c>
      <c r="M308" t="inlineStr">
        <is>
          <t>PAY03</t>
        </is>
      </c>
      <c r="N308" t="inlineStr">
        <is>
          <t>Evening</t>
        </is>
      </c>
      <c r="O308">
        <f>INDEX(Products_Catalog!$B$2:$B$151, MATCH(C308, Products_Catalog!$A$2:$A$151, 0))</f>
        <v/>
      </c>
      <c r="P308" s="13">
        <f>INDEX(Products_Catalog!$D$2:$D$151, MATCH(C308, Products_Catalog!$A$2:$A$151, 0))</f>
        <v/>
      </c>
      <c r="Q308" s="13">
        <f>I308-J308</f>
        <v/>
      </c>
      <c r="R308" s="15">
        <f>IF(K308&gt;20, "BREACH", "OK")</f>
        <v/>
      </c>
    </row>
    <row r="309">
      <c r="A309" t="inlineStr">
        <is>
          <t>ORD01289</t>
        </is>
      </c>
      <c r="B309" t="inlineStr">
        <is>
          <t>CUST0020</t>
        </is>
      </c>
      <c r="C309" t="inlineStr">
        <is>
          <t>PROD104</t>
        </is>
      </c>
      <c r="D309" t="inlineStr">
        <is>
          <t>STORE048</t>
        </is>
      </c>
      <c r="E309" t="inlineStr">
        <is>
          <t>DP010</t>
        </is>
      </c>
      <c r="F309" t="inlineStr">
        <is>
          <t>2024-08-29 13:47:00</t>
        </is>
      </c>
      <c r="G309" t="inlineStr">
        <is>
          <t>2024-08-29 14:03:00</t>
        </is>
      </c>
      <c r="H309" s="14" t="n">
        <v>5</v>
      </c>
      <c r="I309" s="13" t="n">
        <v>627.55</v>
      </c>
      <c r="J309" s="13" t="n">
        <v>184.09</v>
      </c>
      <c r="K309" s="16" t="n">
        <v>16</v>
      </c>
      <c r="L309" t="inlineStr">
        <is>
          <t>Delivered</t>
        </is>
      </c>
      <c r="M309" t="inlineStr">
        <is>
          <t>PAY03</t>
        </is>
      </c>
      <c r="N309" t="inlineStr">
        <is>
          <t>Afternoon</t>
        </is>
      </c>
      <c r="O309">
        <f>INDEX(Products_Catalog!$B$2:$B$151, MATCH(C309, Products_Catalog!$A$2:$A$151, 0))</f>
        <v/>
      </c>
      <c r="P309" s="13">
        <f>INDEX(Products_Catalog!$D$2:$D$151, MATCH(C309, Products_Catalog!$A$2:$A$151, 0))</f>
        <v/>
      </c>
      <c r="Q309" s="13">
        <f>I309-J309</f>
        <v/>
      </c>
      <c r="R309" s="15">
        <f>IF(K309&gt;20, "BREACH", "OK")</f>
        <v/>
      </c>
    </row>
    <row r="310">
      <c r="A310" t="inlineStr">
        <is>
          <t>ORD01290</t>
        </is>
      </c>
      <c r="B310" t="inlineStr">
        <is>
          <t>CUST0003</t>
        </is>
      </c>
      <c r="C310" t="inlineStr">
        <is>
          <t>PROD095</t>
        </is>
      </c>
      <c r="D310" t="inlineStr">
        <is>
          <t>STORE045</t>
        </is>
      </c>
      <c r="E310" t="inlineStr">
        <is>
          <t>DP044</t>
        </is>
      </c>
      <c r="F310" t="inlineStr">
        <is>
          <t>2024-06-03 20:01:00</t>
        </is>
      </c>
      <c r="G310" t="inlineStr">
        <is>
          <t>2024-06-03 20:18:00</t>
        </is>
      </c>
      <c r="H310" s="14" t="n">
        <v>9</v>
      </c>
      <c r="I310" s="13" t="n">
        <v>2057.22</v>
      </c>
      <c r="J310" s="13" t="n">
        <v>355.71</v>
      </c>
      <c r="K310" s="16" t="n">
        <v>17</v>
      </c>
      <c r="L310" t="inlineStr">
        <is>
          <t>Delivered</t>
        </is>
      </c>
      <c r="M310" t="inlineStr">
        <is>
          <t>PAY04</t>
        </is>
      </c>
      <c r="N310" t="inlineStr">
        <is>
          <t>Evening</t>
        </is>
      </c>
      <c r="O310">
        <f>INDEX(Products_Catalog!$B$2:$B$151, MATCH(C310, Products_Catalog!$A$2:$A$151, 0))</f>
        <v/>
      </c>
      <c r="P310" s="13">
        <f>INDEX(Products_Catalog!$D$2:$D$151, MATCH(C310, Products_Catalog!$A$2:$A$151, 0))</f>
        <v/>
      </c>
      <c r="Q310" s="13">
        <f>I310-J310</f>
        <v/>
      </c>
      <c r="R310" s="15">
        <f>IF(K310&gt;20, "BREACH", "OK")</f>
        <v/>
      </c>
    </row>
    <row r="311">
      <c r="A311" t="inlineStr">
        <is>
          <t>ORD01291</t>
        </is>
      </c>
      <c r="B311" t="inlineStr">
        <is>
          <t>CUST0041</t>
        </is>
      </c>
      <c r="C311" t="inlineStr">
        <is>
          <t>PROD148</t>
        </is>
      </c>
      <c r="D311" t="inlineStr">
        <is>
          <t>STORE009</t>
        </is>
      </c>
      <c r="E311" t="inlineStr">
        <is>
          <t>DP047</t>
        </is>
      </c>
      <c r="F311" t="inlineStr">
        <is>
          <t>2024-03-01 18:56:00</t>
        </is>
      </c>
      <c r="G311" t="inlineStr">
        <is>
          <t>2024-03-01 19:14:00</t>
        </is>
      </c>
      <c r="H311" s="14" t="n">
        <v>7</v>
      </c>
      <c r="I311" s="13" t="n">
        <v>470.33</v>
      </c>
      <c r="J311" s="13" t="n">
        <v>28.79</v>
      </c>
      <c r="K311" s="16" t="n">
        <v>18</v>
      </c>
      <c r="L311" t="inlineStr">
        <is>
          <t>Pending</t>
        </is>
      </c>
      <c r="M311" t="inlineStr">
        <is>
          <t>PAY01</t>
        </is>
      </c>
      <c r="N311" t="inlineStr">
        <is>
          <t>Evening</t>
        </is>
      </c>
      <c r="O311">
        <f>INDEX(Products_Catalog!$B$2:$B$151, MATCH(C311, Products_Catalog!$A$2:$A$151, 0))</f>
        <v/>
      </c>
      <c r="P311" s="13">
        <f>INDEX(Products_Catalog!$D$2:$D$151, MATCH(C311, Products_Catalog!$A$2:$A$151, 0))</f>
        <v/>
      </c>
      <c r="Q311" s="13">
        <f>I311-J311</f>
        <v/>
      </c>
      <c r="R311" s="15">
        <f>IF(K311&gt;20, "BREACH", "OK")</f>
        <v/>
      </c>
    </row>
    <row r="312">
      <c r="A312" t="inlineStr">
        <is>
          <t>ORD01292</t>
        </is>
      </c>
      <c r="B312" t="inlineStr">
        <is>
          <t>CUST0018</t>
        </is>
      </c>
      <c r="C312" t="inlineStr">
        <is>
          <t>PROD034</t>
        </is>
      </c>
      <c r="D312" t="inlineStr">
        <is>
          <t>STORE045</t>
        </is>
      </c>
      <c r="E312" t="inlineStr">
        <is>
          <t>DP002</t>
        </is>
      </c>
      <c r="F312" t="inlineStr">
        <is>
          <t>2025-04-02 09:11:00</t>
        </is>
      </c>
      <c r="G312" t="inlineStr">
        <is>
          <t>2025-04-02 09:30:00</t>
        </is>
      </c>
      <c r="H312" s="14" t="n">
        <v>1</v>
      </c>
      <c r="I312" s="13" t="n">
        <v>445.48</v>
      </c>
      <c r="J312" s="13" t="n">
        <v>44.04</v>
      </c>
      <c r="K312" s="16" t="n">
        <v>19</v>
      </c>
      <c r="L312" t="inlineStr">
        <is>
          <t>Shipped</t>
        </is>
      </c>
      <c r="M312" t="inlineStr">
        <is>
          <t>PAY05</t>
        </is>
      </c>
      <c r="N312" t="inlineStr">
        <is>
          <t>Morning</t>
        </is>
      </c>
      <c r="O312">
        <f>INDEX(Products_Catalog!$B$2:$B$151, MATCH(C312, Products_Catalog!$A$2:$A$151, 0))</f>
        <v/>
      </c>
      <c r="P312" s="13">
        <f>INDEX(Products_Catalog!$D$2:$D$151, MATCH(C312, Products_Catalog!$A$2:$A$151, 0))</f>
        <v/>
      </c>
      <c r="Q312" s="13">
        <f>I312-J312</f>
        <v/>
      </c>
      <c r="R312" s="15">
        <f>IF(K312&gt;20, "BREACH", "OK")</f>
        <v/>
      </c>
    </row>
    <row r="313">
      <c r="A313" t="inlineStr">
        <is>
          <t>ORD01293</t>
        </is>
      </c>
      <c r="B313" t="inlineStr">
        <is>
          <t>CUST0003</t>
        </is>
      </c>
      <c r="C313" t="inlineStr">
        <is>
          <t>PROD033</t>
        </is>
      </c>
      <c r="D313" t="inlineStr">
        <is>
          <t>STORE028</t>
        </is>
      </c>
      <c r="E313" t="inlineStr">
        <is>
          <t>DP004</t>
        </is>
      </c>
      <c r="F313" t="inlineStr">
        <is>
          <t>2025-05-24 19:17:00</t>
        </is>
      </c>
      <c r="G313" t="inlineStr">
        <is>
          <t>2025-05-24 19:37:00</t>
        </is>
      </c>
      <c r="H313" s="14" t="n">
        <v>6</v>
      </c>
      <c r="I313" s="13" t="n">
        <v>1815.78</v>
      </c>
      <c r="J313" s="13" t="n">
        <v>119.07</v>
      </c>
      <c r="K313" s="16" t="n">
        <v>20</v>
      </c>
      <c r="L313" t="inlineStr">
        <is>
          <t>Cancelled</t>
        </is>
      </c>
      <c r="M313" t="inlineStr">
        <is>
          <t>PAY04</t>
        </is>
      </c>
      <c r="N313" t="inlineStr">
        <is>
          <t>Evening</t>
        </is>
      </c>
      <c r="O313">
        <f>INDEX(Products_Catalog!$B$2:$B$151, MATCH(C313, Products_Catalog!$A$2:$A$151, 0))</f>
        <v/>
      </c>
      <c r="P313" s="13">
        <f>INDEX(Products_Catalog!$D$2:$D$151, MATCH(C313, Products_Catalog!$A$2:$A$151, 0))</f>
        <v/>
      </c>
      <c r="Q313" s="13">
        <f>I313-J313</f>
        <v/>
      </c>
      <c r="R313" s="15">
        <f>IF(K313&gt;20, "BREACH", "OK")</f>
        <v/>
      </c>
    </row>
    <row r="314">
      <c r="A314" t="inlineStr">
        <is>
          <t>ORD01294</t>
        </is>
      </c>
      <c r="B314" t="inlineStr">
        <is>
          <t>CUST0049</t>
        </is>
      </c>
      <c r="C314" t="inlineStr">
        <is>
          <t>PROD133</t>
        </is>
      </c>
      <c r="D314" t="inlineStr">
        <is>
          <t>STORE021</t>
        </is>
      </c>
      <c r="E314" t="inlineStr">
        <is>
          <t>DP004</t>
        </is>
      </c>
      <c r="F314" t="inlineStr">
        <is>
          <t>2025-03-07 19:49:00</t>
        </is>
      </c>
      <c r="G314" t="inlineStr">
        <is>
          <t>2025-03-07 20:10:00</t>
        </is>
      </c>
      <c r="H314" s="14" t="n">
        <v>5</v>
      </c>
      <c r="I314" s="13" t="n">
        <v>2002.65</v>
      </c>
      <c r="J314" s="13" t="n">
        <v>283.47</v>
      </c>
      <c r="K314" s="16" t="n">
        <v>21</v>
      </c>
      <c r="L314" t="inlineStr">
        <is>
          <t>Shipped</t>
        </is>
      </c>
      <c r="M314" t="inlineStr">
        <is>
          <t>PAY01</t>
        </is>
      </c>
      <c r="N314" t="inlineStr">
        <is>
          <t>Evening</t>
        </is>
      </c>
      <c r="O314">
        <f>INDEX(Products_Catalog!$B$2:$B$151, MATCH(C314, Products_Catalog!$A$2:$A$151, 0))</f>
        <v/>
      </c>
      <c r="P314" s="13">
        <f>INDEX(Products_Catalog!$D$2:$D$151, MATCH(C314, Products_Catalog!$A$2:$A$151, 0))</f>
        <v/>
      </c>
      <c r="Q314" s="13">
        <f>I314-J314</f>
        <v/>
      </c>
      <c r="R314" s="15">
        <f>IF(K314&gt;20, "BREACH", "OK")</f>
        <v/>
      </c>
    </row>
    <row r="315">
      <c r="A315" t="inlineStr">
        <is>
          <t>ORD01295</t>
        </is>
      </c>
      <c r="B315" t="inlineStr">
        <is>
          <t>CUST0031</t>
        </is>
      </c>
      <c r="C315" t="inlineStr">
        <is>
          <t>PROD006</t>
        </is>
      </c>
      <c r="D315" t="inlineStr">
        <is>
          <t>STORE042</t>
        </is>
      </c>
      <c r="E315" t="inlineStr">
        <is>
          <t>DP033</t>
        </is>
      </c>
      <c r="F315" t="inlineStr">
        <is>
          <t>2025-02-12 09:34:00</t>
        </is>
      </c>
      <c r="G315" t="inlineStr">
        <is>
          <t>2025-02-12 09:56:00</t>
        </is>
      </c>
      <c r="H315" s="14" t="n">
        <v>5</v>
      </c>
      <c r="I315" s="13" t="n">
        <v>1377.6</v>
      </c>
      <c r="J315" s="13" t="n">
        <v>163.28</v>
      </c>
      <c r="K315" s="16" t="n">
        <v>22</v>
      </c>
      <c r="L315" t="inlineStr">
        <is>
          <t>Cancelled</t>
        </is>
      </c>
      <c r="M315" t="inlineStr">
        <is>
          <t>PAY02</t>
        </is>
      </c>
      <c r="N315" t="inlineStr">
        <is>
          <t>Morning</t>
        </is>
      </c>
      <c r="O315">
        <f>INDEX(Products_Catalog!$B$2:$B$151, MATCH(C315, Products_Catalog!$A$2:$A$151, 0))</f>
        <v/>
      </c>
      <c r="P315" s="13">
        <f>INDEX(Products_Catalog!$D$2:$D$151, MATCH(C315, Products_Catalog!$A$2:$A$151, 0))</f>
        <v/>
      </c>
      <c r="Q315" s="13">
        <f>I315-J315</f>
        <v/>
      </c>
      <c r="R315" s="15">
        <f>IF(K315&gt;20, "BREACH", "OK")</f>
        <v/>
      </c>
    </row>
    <row r="316">
      <c r="A316" t="inlineStr">
        <is>
          <t>ORD01296</t>
        </is>
      </c>
      <c r="B316" t="inlineStr">
        <is>
          <t>CUST0028</t>
        </is>
      </c>
      <c r="C316" t="inlineStr">
        <is>
          <t>PROD105</t>
        </is>
      </c>
      <c r="D316" t="inlineStr">
        <is>
          <t>STORE012</t>
        </is>
      </c>
      <c r="E316" t="inlineStr">
        <is>
          <t>DP048</t>
        </is>
      </c>
      <c r="F316" t="inlineStr">
        <is>
          <t>2025-03-13 12:48:00</t>
        </is>
      </c>
      <c r="G316" t="inlineStr">
        <is>
          <t>2025-03-13 13:11:00</t>
        </is>
      </c>
      <c r="H316" s="14" t="n">
        <v>3</v>
      </c>
      <c r="I316" s="13" t="n">
        <v>811.5599999999999</v>
      </c>
      <c r="J316" s="13" t="n">
        <v>97.29000000000001</v>
      </c>
      <c r="K316" s="16" t="n">
        <v>23</v>
      </c>
      <c r="L316" t="inlineStr">
        <is>
          <t>Pending</t>
        </is>
      </c>
      <c r="M316" t="inlineStr">
        <is>
          <t>PAY05</t>
        </is>
      </c>
      <c r="N316" t="inlineStr">
        <is>
          <t>Afternoon</t>
        </is>
      </c>
      <c r="O316">
        <f>INDEX(Products_Catalog!$B$2:$B$151, MATCH(C316, Products_Catalog!$A$2:$A$151, 0))</f>
        <v/>
      </c>
      <c r="P316" s="13">
        <f>INDEX(Products_Catalog!$D$2:$D$151, MATCH(C316, Products_Catalog!$A$2:$A$151, 0))</f>
        <v/>
      </c>
      <c r="Q316" s="13">
        <f>I316-J316</f>
        <v/>
      </c>
      <c r="R316" s="15">
        <f>IF(K316&gt;20, "BREACH", "OK")</f>
        <v/>
      </c>
    </row>
    <row r="317">
      <c r="A317" t="inlineStr">
        <is>
          <t>ORD01297</t>
        </is>
      </c>
      <c r="B317" t="inlineStr">
        <is>
          <t>CUST0004</t>
        </is>
      </c>
      <c r="C317" t="inlineStr">
        <is>
          <t>PROD118</t>
        </is>
      </c>
      <c r="D317" t="inlineStr">
        <is>
          <t>STORE005</t>
        </is>
      </c>
      <c r="E317" t="inlineStr">
        <is>
          <t>DP015</t>
        </is>
      </c>
      <c r="F317" t="inlineStr">
        <is>
          <t>2025-06-29 11:48:00</t>
        </is>
      </c>
      <c r="G317" t="inlineStr">
        <is>
          <t>2025-06-29 12:12:00</t>
        </is>
      </c>
      <c r="H317" s="14" t="n">
        <v>1</v>
      </c>
      <c r="I317" s="13" t="n">
        <v>291.71</v>
      </c>
      <c r="J317" s="13" t="n">
        <v>86.62</v>
      </c>
      <c r="K317" s="16" t="n">
        <v>24</v>
      </c>
      <c r="L317" t="inlineStr">
        <is>
          <t>Pending</t>
        </is>
      </c>
      <c r="M317" t="inlineStr">
        <is>
          <t>PAY01</t>
        </is>
      </c>
      <c r="N317" t="inlineStr">
        <is>
          <t>Morning</t>
        </is>
      </c>
      <c r="O317">
        <f>INDEX(Products_Catalog!$B$2:$B$151, MATCH(C317, Products_Catalog!$A$2:$A$151, 0))</f>
        <v/>
      </c>
      <c r="P317" s="13">
        <f>INDEX(Products_Catalog!$D$2:$D$151, MATCH(C317, Products_Catalog!$A$2:$A$151, 0))</f>
        <v/>
      </c>
      <c r="Q317" s="13">
        <f>I317-J317</f>
        <v/>
      </c>
      <c r="R317" s="15">
        <f>IF(K317&gt;20, "BREACH", "OK")</f>
        <v/>
      </c>
    </row>
    <row r="318">
      <c r="A318" t="inlineStr">
        <is>
          <t>ORD01298</t>
        </is>
      </c>
      <c r="B318" t="inlineStr">
        <is>
          <t>CUST0008</t>
        </is>
      </c>
      <c r="C318" t="inlineStr">
        <is>
          <t>PROD105</t>
        </is>
      </c>
      <c r="D318" t="inlineStr">
        <is>
          <t>STORE040</t>
        </is>
      </c>
      <c r="E318" t="inlineStr">
        <is>
          <t>DP046</t>
        </is>
      </c>
      <c r="F318" t="inlineStr">
        <is>
          <t>2025-06-22 19:46:00</t>
        </is>
      </c>
      <c r="G318" t="inlineStr">
        <is>
          <t>2025-06-22 20:11:00</t>
        </is>
      </c>
      <c r="H318" s="14" t="n">
        <v>10</v>
      </c>
      <c r="I318" s="13" t="n">
        <v>1060.1</v>
      </c>
      <c r="J318" s="13" t="n">
        <v>24.54</v>
      </c>
      <c r="K318" s="16" t="n">
        <v>25</v>
      </c>
      <c r="L318" t="inlineStr">
        <is>
          <t>Delivered</t>
        </is>
      </c>
      <c r="M318" t="inlineStr">
        <is>
          <t>PAY03</t>
        </is>
      </c>
      <c r="N318" t="inlineStr">
        <is>
          <t>Evening</t>
        </is>
      </c>
      <c r="O318">
        <f>INDEX(Products_Catalog!$B$2:$B$151, MATCH(C318, Products_Catalog!$A$2:$A$151, 0))</f>
        <v/>
      </c>
      <c r="P318" s="13">
        <f>INDEX(Products_Catalog!$D$2:$D$151, MATCH(C318, Products_Catalog!$A$2:$A$151, 0))</f>
        <v/>
      </c>
      <c r="Q318" s="13">
        <f>I318-J318</f>
        <v/>
      </c>
      <c r="R318" s="15">
        <f>IF(K318&gt;20, "BREACH", "OK")</f>
        <v/>
      </c>
    </row>
    <row r="319">
      <c r="A319" t="inlineStr">
        <is>
          <t>ORD01300</t>
        </is>
      </c>
      <c r="B319" t="inlineStr">
        <is>
          <t>CUST0014</t>
        </is>
      </c>
      <c r="C319" t="inlineStr">
        <is>
          <t>PROD099</t>
        </is>
      </c>
      <c r="D319" t="inlineStr">
        <is>
          <t>STORE009</t>
        </is>
      </c>
      <c r="E319" t="inlineStr">
        <is>
          <t>DP048</t>
        </is>
      </c>
      <c r="F319" t="inlineStr">
        <is>
          <t>2025-06-14 16:59:00</t>
        </is>
      </c>
      <c r="G319" t="inlineStr">
        <is>
          <t>2025-06-14 17:26:00</t>
        </is>
      </c>
      <c r="H319" s="14" t="n">
        <v>6</v>
      </c>
      <c r="I319" s="13" t="n">
        <v>2429.22</v>
      </c>
      <c r="J319" s="13" t="n">
        <v>679.02</v>
      </c>
      <c r="K319" s="16" t="n">
        <v>27</v>
      </c>
      <c r="L319" t="inlineStr">
        <is>
          <t>Cancelled</t>
        </is>
      </c>
      <c r="M319" t="inlineStr">
        <is>
          <t>PAY03</t>
        </is>
      </c>
      <c r="N319" t="inlineStr">
        <is>
          <t>Afternoon</t>
        </is>
      </c>
      <c r="O319">
        <f>INDEX(Products_Catalog!$B$2:$B$151, MATCH(C319, Products_Catalog!$A$2:$A$151, 0))</f>
        <v/>
      </c>
      <c r="P319" s="13">
        <f>INDEX(Products_Catalog!$D$2:$D$151, MATCH(C319, Products_Catalog!$A$2:$A$151, 0))</f>
        <v/>
      </c>
      <c r="Q319" s="13">
        <f>I319-J319</f>
        <v/>
      </c>
      <c r="R319" s="15">
        <f>IF(K319&gt;20, "BREACH", "OK")</f>
        <v/>
      </c>
    </row>
    <row r="320">
      <c r="A320" t="inlineStr">
        <is>
          <t>ORD01301</t>
        </is>
      </c>
      <c r="B320" t="inlineStr">
        <is>
          <t>CUST0039</t>
        </is>
      </c>
      <c r="C320" t="inlineStr">
        <is>
          <t>PROD130</t>
        </is>
      </c>
      <c r="D320" t="inlineStr">
        <is>
          <t>STORE002</t>
        </is>
      </c>
      <c r="E320" t="inlineStr">
        <is>
          <t>DP003</t>
        </is>
      </c>
      <c r="F320" t="inlineStr">
        <is>
          <t>2025-04-30 14:52:00</t>
        </is>
      </c>
      <c r="G320" t="inlineStr">
        <is>
          <t>2025-04-30 15:20:00</t>
        </is>
      </c>
      <c r="H320" s="14" t="n">
        <v>6</v>
      </c>
      <c r="I320" s="13" t="n">
        <v>563.52</v>
      </c>
      <c r="J320" s="13" t="n">
        <v>110.75</v>
      </c>
      <c r="K320" s="16" t="n">
        <v>28</v>
      </c>
      <c r="L320" t="inlineStr">
        <is>
          <t>Delivered</t>
        </is>
      </c>
      <c r="M320" t="inlineStr">
        <is>
          <t>PAY05</t>
        </is>
      </c>
      <c r="N320" t="inlineStr">
        <is>
          <t>Afternoon</t>
        </is>
      </c>
      <c r="O320">
        <f>INDEX(Products_Catalog!$B$2:$B$151, MATCH(C320, Products_Catalog!$A$2:$A$151, 0))</f>
        <v/>
      </c>
      <c r="P320" s="13">
        <f>INDEX(Products_Catalog!$D$2:$D$151, MATCH(C320, Products_Catalog!$A$2:$A$151, 0))</f>
        <v/>
      </c>
      <c r="Q320" s="13">
        <f>I320-J320</f>
        <v/>
      </c>
      <c r="R320" s="15">
        <f>IF(K320&gt;20, "BREACH", "OK")</f>
        <v/>
      </c>
    </row>
    <row r="321">
      <c r="A321" t="inlineStr">
        <is>
          <t>ORD01304</t>
        </is>
      </c>
      <c r="B321" t="inlineStr">
        <is>
          <t>CUST0010</t>
        </is>
      </c>
      <c r="C321" t="inlineStr">
        <is>
          <t>PROD006</t>
        </is>
      </c>
      <c r="D321" t="inlineStr">
        <is>
          <t>STORE002</t>
        </is>
      </c>
      <c r="E321" t="inlineStr">
        <is>
          <t>DP021</t>
        </is>
      </c>
      <c r="F321" t="inlineStr">
        <is>
          <t>2024-05-13 18:23:00</t>
        </is>
      </c>
      <c r="G321" t="inlineStr">
        <is>
          <t>2024-05-13 18:33:00</t>
        </is>
      </c>
      <c r="H321" s="14" t="n">
        <v>5</v>
      </c>
      <c r="I321" s="13" t="n">
        <v>2242</v>
      </c>
      <c r="J321" s="13" t="n">
        <v>330.8</v>
      </c>
      <c r="K321" s="16" t="n">
        <v>10</v>
      </c>
      <c r="L321" t="inlineStr">
        <is>
          <t>Returned</t>
        </is>
      </c>
      <c r="M321" t="inlineStr">
        <is>
          <t>PAY01</t>
        </is>
      </c>
      <c r="N321" t="inlineStr">
        <is>
          <t>Evening</t>
        </is>
      </c>
      <c r="O321">
        <f>INDEX(Products_Catalog!$B$2:$B$151, MATCH(C321, Products_Catalog!$A$2:$A$151, 0))</f>
        <v/>
      </c>
      <c r="P321" s="13">
        <f>INDEX(Products_Catalog!$D$2:$D$151, MATCH(C321, Products_Catalog!$A$2:$A$151, 0))</f>
        <v/>
      </c>
      <c r="Q321" s="13">
        <f>I321-J321</f>
        <v/>
      </c>
      <c r="R321" s="15">
        <f>IF(K321&gt;20, "BREACH", "OK")</f>
        <v/>
      </c>
    </row>
    <row r="322">
      <c r="A322" t="inlineStr">
        <is>
          <t>ORD01306</t>
        </is>
      </c>
      <c r="B322" t="inlineStr">
        <is>
          <t>CUST0027</t>
        </is>
      </c>
      <c r="C322" t="inlineStr">
        <is>
          <t>PROD119</t>
        </is>
      </c>
      <c r="D322" t="inlineStr">
        <is>
          <t>STORE039</t>
        </is>
      </c>
      <c r="E322" t="inlineStr">
        <is>
          <t>DP017</t>
        </is>
      </c>
      <c r="F322" t="inlineStr">
        <is>
          <t>2025-02-14 08:52:00</t>
        </is>
      </c>
      <c r="G322" t="inlineStr">
        <is>
          <t>2025-02-14 09:04:00</t>
        </is>
      </c>
      <c r="H322" s="14" t="n">
        <v>4</v>
      </c>
      <c r="I322" s="13" t="n">
        <v>1650.88</v>
      </c>
      <c r="J322" s="13" t="n">
        <v>300.42</v>
      </c>
      <c r="K322" s="16" t="n">
        <v>12</v>
      </c>
      <c r="L322" t="inlineStr">
        <is>
          <t>Delivered</t>
        </is>
      </c>
      <c r="M322" t="inlineStr">
        <is>
          <t>PAY04</t>
        </is>
      </c>
      <c r="N322" t="inlineStr">
        <is>
          <t>Morning</t>
        </is>
      </c>
      <c r="O322">
        <f>INDEX(Products_Catalog!$B$2:$B$151, MATCH(C322, Products_Catalog!$A$2:$A$151, 0))</f>
        <v/>
      </c>
      <c r="P322" s="13">
        <f>INDEX(Products_Catalog!$D$2:$D$151, MATCH(C322, Products_Catalog!$A$2:$A$151, 0))</f>
        <v/>
      </c>
      <c r="Q322" s="13">
        <f>I322-J322</f>
        <v/>
      </c>
      <c r="R322" s="15">
        <f>IF(K322&gt;20, "BREACH", "OK")</f>
        <v/>
      </c>
    </row>
    <row r="323">
      <c r="A323" t="inlineStr">
        <is>
          <t>ORD01307</t>
        </is>
      </c>
      <c r="B323" t="inlineStr">
        <is>
          <t>CUST0038</t>
        </is>
      </c>
      <c r="C323" t="inlineStr">
        <is>
          <t>PROD104</t>
        </is>
      </c>
      <c r="D323" t="inlineStr">
        <is>
          <t>STORE004</t>
        </is>
      </c>
      <c r="E323" t="inlineStr">
        <is>
          <t>DP029</t>
        </is>
      </c>
      <c r="F323" t="inlineStr">
        <is>
          <t>2025-05-11 18:35:00</t>
        </is>
      </c>
      <c r="G323" t="inlineStr">
        <is>
          <t>2025-05-11 18:48:00</t>
        </is>
      </c>
      <c r="H323" s="14" t="n">
        <v>10</v>
      </c>
      <c r="I323" s="13" t="n">
        <v>4394.8</v>
      </c>
      <c r="J323" s="13" t="n">
        <v>327.89</v>
      </c>
      <c r="K323" s="16" t="n">
        <v>13</v>
      </c>
      <c r="L323" t="inlineStr">
        <is>
          <t>Pending</t>
        </is>
      </c>
      <c r="M323" t="inlineStr">
        <is>
          <t>PAY02</t>
        </is>
      </c>
      <c r="N323" t="inlineStr">
        <is>
          <t>Evening</t>
        </is>
      </c>
      <c r="O323">
        <f>INDEX(Products_Catalog!$B$2:$B$151, MATCH(C323, Products_Catalog!$A$2:$A$151, 0))</f>
        <v/>
      </c>
      <c r="P323" s="13">
        <f>INDEX(Products_Catalog!$D$2:$D$151, MATCH(C323, Products_Catalog!$A$2:$A$151, 0))</f>
        <v/>
      </c>
      <c r="Q323" s="13">
        <f>I323-J323</f>
        <v/>
      </c>
      <c r="R323" s="15">
        <f>IF(K323&gt;20, "BREACH", "OK")</f>
        <v/>
      </c>
    </row>
    <row r="324">
      <c r="A324" t="inlineStr">
        <is>
          <t>ORD01308</t>
        </is>
      </c>
      <c r="B324" t="inlineStr">
        <is>
          <t>CUST0015</t>
        </is>
      </c>
      <c r="C324" t="inlineStr">
        <is>
          <t>PROD081</t>
        </is>
      </c>
      <c r="D324" t="inlineStr">
        <is>
          <t>STORE010</t>
        </is>
      </c>
      <c r="E324" t="inlineStr">
        <is>
          <t>DP016</t>
        </is>
      </c>
      <c r="F324" t="inlineStr">
        <is>
          <t>2024-04-02 18:34:00</t>
        </is>
      </c>
      <c r="G324" t="inlineStr">
        <is>
          <t>2024-04-02 18:48:00</t>
        </is>
      </c>
      <c r="H324" s="14" t="n">
        <v>2</v>
      </c>
      <c r="I324" s="13" t="n">
        <v>913.2</v>
      </c>
      <c r="J324" s="13" t="n">
        <v>126.62</v>
      </c>
      <c r="K324" s="16" t="n">
        <v>14</v>
      </c>
      <c r="L324" t="inlineStr">
        <is>
          <t>Delivered</t>
        </is>
      </c>
      <c r="M324" t="inlineStr">
        <is>
          <t>PAY01</t>
        </is>
      </c>
      <c r="N324" t="inlineStr">
        <is>
          <t>Evening</t>
        </is>
      </c>
      <c r="O324">
        <f>INDEX(Products_Catalog!$B$2:$B$151, MATCH(C324, Products_Catalog!$A$2:$A$151, 0))</f>
        <v/>
      </c>
      <c r="P324" s="13">
        <f>INDEX(Products_Catalog!$D$2:$D$151, MATCH(C324, Products_Catalog!$A$2:$A$151, 0))</f>
        <v/>
      </c>
      <c r="Q324" s="13">
        <f>I324-J324</f>
        <v/>
      </c>
      <c r="R324" s="15">
        <f>IF(K324&gt;20, "BREACH", "OK")</f>
        <v/>
      </c>
    </row>
    <row r="325">
      <c r="A325" t="inlineStr">
        <is>
          <t>ORD01309</t>
        </is>
      </c>
      <c r="B325" t="inlineStr">
        <is>
          <t>CUST0012</t>
        </is>
      </c>
      <c r="C325" t="inlineStr">
        <is>
          <t>PROD057</t>
        </is>
      </c>
      <c r="D325" t="inlineStr">
        <is>
          <t>STORE035</t>
        </is>
      </c>
      <c r="E325" t="inlineStr">
        <is>
          <t>DP022</t>
        </is>
      </c>
      <c r="F325" t="inlineStr">
        <is>
          <t>2024-12-31 19:48:00</t>
        </is>
      </c>
      <c r="G325" t="inlineStr">
        <is>
          <t>2024-12-31 20:03:00</t>
        </is>
      </c>
      <c r="H325" s="14" t="n">
        <v>5</v>
      </c>
      <c r="I325" s="13" t="n">
        <v>2289.1</v>
      </c>
      <c r="J325" s="13" t="n">
        <v>341.77</v>
      </c>
      <c r="K325" s="16" t="n">
        <v>15</v>
      </c>
      <c r="L325" t="inlineStr">
        <is>
          <t>Pending</t>
        </is>
      </c>
      <c r="M325" t="inlineStr">
        <is>
          <t>PAY04</t>
        </is>
      </c>
      <c r="N325" t="inlineStr">
        <is>
          <t>Evening</t>
        </is>
      </c>
      <c r="O325">
        <f>INDEX(Products_Catalog!$B$2:$B$151, MATCH(C325, Products_Catalog!$A$2:$A$151, 0))</f>
        <v/>
      </c>
      <c r="P325" s="13">
        <f>INDEX(Products_Catalog!$D$2:$D$151, MATCH(C325, Products_Catalog!$A$2:$A$151, 0))</f>
        <v/>
      </c>
      <c r="Q325" s="13">
        <f>I325-J325</f>
        <v/>
      </c>
      <c r="R325" s="15">
        <f>IF(K325&gt;20, "BREACH", "OK")</f>
        <v/>
      </c>
    </row>
    <row r="326">
      <c r="A326" t="inlineStr">
        <is>
          <t>ORD01310</t>
        </is>
      </c>
      <c r="B326" t="inlineStr">
        <is>
          <t>CUST0045</t>
        </is>
      </c>
      <c r="C326" t="inlineStr">
        <is>
          <t>PROD072</t>
        </is>
      </c>
      <c r="D326" t="inlineStr">
        <is>
          <t>STORE043</t>
        </is>
      </c>
      <c r="E326" t="inlineStr">
        <is>
          <t>DP002</t>
        </is>
      </c>
      <c r="F326" t="inlineStr">
        <is>
          <t>2024-05-05 09:00:00</t>
        </is>
      </c>
      <c r="G326" t="inlineStr">
        <is>
          <t>2024-05-05 09:16:00</t>
        </is>
      </c>
      <c r="H326" s="14" t="n">
        <v>9</v>
      </c>
      <c r="I326" s="13" t="n">
        <v>893.88</v>
      </c>
      <c r="J326" s="13" t="n">
        <v>0.74</v>
      </c>
      <c r="K326" s="16" t="n">
        <v>16</v>
      </c>
      <c r="L326" t="inlineStr">
        <is>
          <t>Cancelled</t>
        </is>
      </c>
      <c r="M326" t="inlineStr">
        <is>
          <t>PAY03</t>
        </is>
      </c>
      <c r="N326" t="inlineStr">
        <is>
          <t>Morning</t>
        </is>
      </c>
      <c r="O326">
        <f>INDEX(Products_Catalog!$B$2:$B$151, MATCH(C326, Products_Catalog!$A$2:$A$151, 0))</f>
        <v/>
      </c>
      <c r="P326" s="13">
        <f>INDEX(Products_Catalog!$D$2:$D$151, MATCH(C326, Products_Catalog!$A$2:$A$151, 0))</f>
        <v/>
      </c>
      <c r="Q326" s="13">
        <f>I326-J326</f>
        <v/>
      </c>
      <c r="R326" s="15">
        <f>IF(K326&gt;20, "BREACH", "OK")</f>
        <v/>
      </c>
    </row>
    <row r="327">
      <c r="A327" t="inlineStr">
        <is>
          <t>ORD01312</t>
        </is>
      </c>
      <c r="B327" t="inlineStr">
        <is>
          <t>CUST0050</t>
        </is>
      </c>
      <c r="C327" t="inlineStr">
        <is>
          <t>PROD061</t>
        </is>
      </c>
      <c r="D327" t="inlineStr">
        <is>
          <t>STORE035</t>
        </is>
      </c>
      <c r="E327" t="inlineStr">
        <is>
          <t>DP020</t>
        </is>
      </c>
      <c r="F327" t="inlineStr">
        <is>
          <t>2024-07-22 12:23:00</t>
        </is>
      </c>
      <c r="G327" t="inlineStr">
        <is>
          <t>2024-07-22 12:41:00</t>
        </is>
      </c>
      <c r="H327" s="14" t="n">
        <v>4</v>
      </c>
      <c r="I327" s="13" t="n">
        <v>1471.2</v>
      </c>
      <c r="J327" s="13" t="n">
        <v>301.08</v>
      </c>
      <c r="K327" s="16" t="n">
        <v>18</v>
      </c>
      <c r="L327" t="inlineStr">
        <is>
          <t>Cancelled</t>
        </is>
      </c>
      <c r="M327" t="inlineStr">
        <is>
          <t>PAY03</t>
        </is>
      </c>
      <c r="N327" t="inlineStr">
        <is>
          <t>Afternoon</t>
        </is>
      </c>
      <c r="O327">
        <f>INDEX(Products_Catalog!$B$2:$B$151, MATCH(C327, Products_Catalog!$A$2:$A$151, 0))</f>
        <v/>
      </c>
      <c r="P327" s="13">
        <f>INDEX(Products_Catalog!$D$2:$D$151, MATCH(C327, Products_Catalog!$A$2:$A$151, 0))</f>
        <v/>
      </c>
      <c r="Q327" s="13">
        <f>I327-J327</f>
        <v/>
      </c>
      <c r="R327" s="15">
        <f>IF(K327&gt;20, "BREACH", "OK")</f>
        <v/>
      </c>
    </row>
    <row r="328">
      <c r="A328" t="inlineStr">
        <is>
          <t>ORD01313</t>
        </is>
      </c>
      <c r="B328" t="inlineStr">
        <is>
          <t>CUST0021</t>
        </is>
      </c>
      <c r="C328" t="inlineStr">
        <is>
          <t>PROD029</t>
        </is>
      </c>
      <c r="D328" t="inlineStr">
        <is>
          <t>STORE015</t>
        </is>
      </c>
      <c r="E328" t="inlineStr">
        <is>
          <t>DP010</t>
        </is>
      </c>
      <c r="F328" t="inlineStr">
        <is>
          <t>2024-04-06 20:03:00</t>
        </is>
      </c>
      <c r="G328" t="inlineStr">
        <is>
          <t>2024-04-06 20:22:00</t>
        </is>
      </c>
      <c r="H328" s="14" t="n">
        <v>1</v>
      </c>
      <c r="I328" s="13" t="n">
        <v>227.58</v>
      </c>
      <c r="J328" s="13" t="n">
        <v>24.81</v>
      </c>
      <c r="K328" s="16" t="n">
        <v>19</v>
      </c>
      <c r="L328" t="inlineStr">
        <is>
          <t>Delivered</t>
        </is>
      </c>
      <c r="M328" t="inlineStr">
        <is>
          <t>PAY04</t>
        </is>
      </c>
      <c r="N328" t="inlineStr">
        <is>
          <t>Evening</t>
        </is>
      </c>
      <c r="O328">
        <f>INDEX(Products_Catalog!$B$2:$B$151, MATCH(C328, Products_Catalog!$A$2:$A$151, 0))</f>
        <v/>
      </c>
      <c r="P328" s="13">
        <f>INDEX(Products_Catalog!$D$2:$D$151, MATCH(C328, Products_Catalog!$A$2:$A$151, 0))</f>
        <v/>
      </c>
      <c r="Q328" s="13">
        <f>I328-J328</f>
        <v/>
      </c>
      <c r="R328" s="15">
        <f>IF(K328&gt;20, "BREACH", "OK")</f>
        <v/>
      </c>
    </row>
    <row r="329">
      <c r="A329" t="inlineStr">
        <is>
          <t>ORD01314</t>
        </is>
      </c>
      <c r="B329" t="inlineStr">
        <is>
          <t>CUST0018</t>
        </is>
      </c>
      <c r="C329" t="inlineStr">
        <is>
          <t>PROD025</t>
        </is>
      </c>
      <c r="D329" t="inlineStr">
        <is>
          <t>STORE038</t>
        </is>
      </c>
      <c r="E329" t="inlineStr">
        <is>
          <t>DP002</t>
        </is>
      </c>
      <c r="F329" t="inlineStr">
        <is>
          <t>2024-02-17 11:18:00</t>
        </is>
      </c>
      <c r="G329" t="inlineStr">
        <is>
          <t>2024-02-17 11:38:00</t>
        </is>
      </c>
      <c r="H329" s="14" t="n">
        <v>10</v>
      </c>
      <c r="I329" s="13" t="n">
        <v>1199.4</v>
      </c>
      <c r="J329" s="13" t="n">
        <v>353.28</v>
      </c>
      <c r="K329" s="16" t="n">
        <v>20</v>
      </c>
      <c r="L329" t="inlineStr">
        <is>
          <t>Shipped</t>
        </is>
      </c>
      <c r="M329" t="inlineStr">
        <is>
          <t>PAY01</t>
        </is>
      </c>
      <c r="N329" t="inlineStr">
        <is>
          <t>Morning</t>
        </is>
      </c>
      <c r="O329">
        <f>INDEX(Products_Catalog!$B$2:$B$151, MATCH(C329, Products_Catalog!$A$2:$A$151, 0))</f>
        <v/>
      </c>
      <c r="P329" s="13">
        <f>INDEX(Products_Catalog!$D$2:$D$151, MATCH(C329, Products_Catalog!$A$2:$A$151, 0))</f>
        <v/>
      </c>
      <c r="Q329" s="13">
        <f>I329-J329</f>
        <v/>
      </c>
      <c r="R329" s="15">
        <f>IF(K329&gt;20, "BREACH", "OK")</f>
        <v/>
      </c>
    </row>
    <row r="330">
      <c r="A330" t="inlineStr">
        <is>
          <t>ORD01315</t>
        </is>
      </c>
      <c r="B330" t="inlineStr">
        <is>
          <t>CUST0019</t>
        </is>
      </c>
      <c r="C330" t="inlineStr">
        <is>
          <t>PROD065</t>
        </is>
      </c>
      <c r="D330" t="inlineStr">
        <is>
          <t>STORE032</t>
        </is>
      </c>
      <c r="E330" t="inlineStr">
        <is>
          <t>DP036</t>
        </is>
      </c>
      <c r="F330" t="inlineStr">
        <is>
          <t>2024-09-08 18:26:00</t>
        </is>
      </c>
      <c r="G330" t="inlineStr">
        <is>
          <t>2024-09-08 18:47:00</t>
        </is>
      </c>
      <c r="H330" s="14" t="n">
        <v>7</v>
      </c>
      <c r="I330" s="13" t="n">
        <v>1693.23</v>
      </c>
      <c r="J330" s="13" t="n">
        <v>489.38</v>
      </c>
      <c r="K330" s="16" t="n">
        <v>21</v>
      </c>
      <c r="L330" t="inlineStr">
        <is>
          <t>Returned</t>
        </is>
      </c>
      <c r="M330" t="inlineStr">
        <is>
          <t>PAY05</t>
        </is>
      </c>
      <c r="N330" t="inlineStr">
        <is>
          <t>Evening</t>
        </is>
      </c>
      <c r="O330">
        <f>INDEX(Products_Catalog!$B$2:$B$151, MATCH(C330, Products_Catalog!$A$2:$A$151, 0))</f>
        <v/>
      </c>
      <c r="P330" s="13">
        <f>INDEX(Products_Catalog!$D$2:$D$151, MATCH(C330, Products_Catalog!$A$2:$A$151, 0))</f>
        <v/>
      </c>
      <c r="Q330" s="13">
        <f>I330-J330</f>
        <v/>
      </c>
      <c r="R330" s="15">
        <f>IF(K330&gt;20, "BREACH", "OK")</f>
        <v/>
      </c>
    </row>
    <row r="331">
      <c r="A331" t="inlineStr">
        <is>
          <t>ORD01317</t>
        </is>
      </c>
      <c r="B331" t="inlineStr">
        <is>
          <t>CUST0046</t>
        </is>
      </c>
      <c r="C331" t="inlineStr">
        <is>
          <t>PROD046</t>
        </is>
      </c>
      <c r="D331" t="inlineStr">
        <is>
          <t>STORE012</t>
        </is>
      </c>
      <c r="E331" t="inlineStr">
        <is>
          <t>DP038</t>
        </is>
      </c>
      <c r="F331" t="inlineStr">
        <is>
          <t>2024-04-01 10:23:00</t>
        </is>
      </c>
      <c r="G331" t="inlineStr">
        <is>
          <t>2024-04-01 10:46:00</t>
        </is>
      </c>
      <c r="H331" s="14" t="n">
        <v>5</v>
      </c>
      <c r="I331" s="13" t="n">
        <v>995.65</v>
      </c>
      <c r="J331" s="13" t="n">
        <v>288.89</v>
      </c>
      <c r="K331" s="16" t="n">
        <v>23</v>
      </c>
      <c r="L331" t="inlineStr">
        <is>
          <t>Pending</t>
        </is>
      </c>
      <c r="M331" t="inlineStr">
        <is>
          <t>PAY01</t>
        </is>
      </c>
      <c r="N331" t="inlineStr">
        <is>
          <t>Morning</t>
        </is>
      </c>
      <c r="O331">
        <f>INDEX(Products_Catalog!$B$2:$B$151, MATCH(C331, Products_Catalog!$A$2:$A$151, 0))</f>
        <v/>
      </c>
      <c r="P331" s="13">
        <f>INDEX(Products_Catalog!$D$2:$D$151, MATCH(C331, Products_Catalog!$A$2:$A$151, 0))</f>
        <v/>
      </c>
      <c r="Q331" s="13">
        <f>I331-J331</f>
        <v/>
      </c>
      <c r="R331" s="15">
        <f>IF(K331&gt;20, "BREACH", "OK")</f>
        <v/>
      </c>
    </row>
    <row r="332">
      <c r="A332" t="inlineStr">
        <is>
          <t>ORD01318</t>
        </is>
      </c>
      <c r="B332" t="inlineStr">
        <is>
          <t>CUST0008</t>
        </is>
      </c>
      <c r="C332" t="inlineStr">
        <is>
          <t>PROD068</t>
        </is>
      </c>
      <c r="D332" t="inlineStr">
        <is>
          <t>STORE022</t>
        </is>
      </c>
      <c r="E332" t="inlineStr">
        <is>
          <t>DP005</t>
        </is>
      </c>
      <c r="F332" t="inlineStr">
        <is>
          <t>2024-05-03 08:44:00</t>
        </is>
      </c>
      <c r="G332" t="inlineStr">
        <is>
          <t>2024-05-03 09:08:00</t>
        </is>
      </c>
      <c r="H332" s="14" t="n">
        <v>3</v>
      </c>
      <c r="I332" s="13" t="n">
        <v>327.42</v>
      </c>
      <c r="J332" s="13" t="n">
        <v>76.41</v>
      </c>
      <c r="K332" s="16" t="n">
        <v>24</v>
      </c>
      <c r="L332" t="inlineStr">
        <is>
          <t>Delivered</t>
        </is>
      </c>
      <c r="M332" t="inlineStr">
        <is>
          <t>PAY05</t>
        </is>
      </c>
      <c r="N332" t="inlineStr">
        <is>
          <t>Morning</t>
        </is>
      </c>
      <c r="O332">
        <f>INDEX(Products_Catalog!$B$2:$B$151, MATCH(C332, Products_Catalog!$A$2:$A$151, 0))</f>
        <v/>
      </c>
      <c r="P332" s="13">
        <f>INDEX(Products_Catalog!$D$2:$D$151, MATCH(C332, Products_Catalog!$A$2:$A$151, 0))</f>
        <v/>
      </c>
      <c r="Q332" s="13">
        <f>I332-J332</f>
        <v/>
      </c>
      <c r="R332" s="15">
        <f>IF(K332&gt;20, "BREACH", "OK")</f>
        <v/>
      </c>
    </row>
    <row r="333">
      <c r="A333" t="inlineStr">
        <is>
          <t>ORD01322</t>
        </is>
      </c>
      <c r="B333" t="inlineStr">
        <is>
          <t>CUST0040</t>
        </is>
      </c>
      <c r="C333" t="inlineStr">
        <is>
          <t>PROD047</t>
        </is>
      </c>
      <c r="D333" t="inlineStr">
        <is>
          <t>STORE010</t>
        </is>
      </c>
      <c r="E333" t="inlineStr">
        <is>
          <t>DP048</t>
        </is>
      </c>
      <c r="F333" t="inlineStr">
        <is>
          <t>2025-04-04 15:41:00</t>
        </is>
      </c>
      <c r="G333" t="inlineStr">
        <is>
          <t>2025-04-04 16:09:00</t>
        </is>
      </c>
      <c r="H333" s="14" t="n">
        <v>3</v>
      </c>
      <c r="I333" s="13" t="n">
        <v>455.49</v>
      </c>
      <c r="J333" s="13" t="n">
        <v>109.69</v>
      </c>
      <c r="K333" s="16" t="n">
        <v>28</v>
      </c>
      <c r="L333" t="inlineStr">
        <is>
          <t>Shipped</t>
        </is>
      </c>
      <c r="M333" t="inlineStr">
        <is>
          <t>PAY02</t>
        </is>
      </c>
      <c r="N333" t="inlineStr">
        <is>
          <t>Afternoon</t>
        </is>
      </c>
      <c r="O333">
        <f>INDEX(Products_Catalog!$B$2:$B$151, MATCH(C333, Products_Catalog!$A$2:$A$151, 0))</f>
        <v/>
      </c>
      <c r="P333" s="13">
        <f>INDEX(Products_Catalog!$D$2:$D$151, MATCH(C333, Products_Catalog!$A$2:$A$151, 0))</f>
        <v/>
      </c>
      <c r="Q333" s="13">
        <f>I333-J333</f>
        <v/>
      </c>
      <c r="R333" s="15">
        <f>IF(K333&gt;20, "BREACH", "OK")</f>
        <v/>
      </c>
    </row>
    <row r="334">
      <c r="A334" t="inlineStr">
        <is>
          <t>ORD01325</t>
        </is>
      </c>
      <c r="B334" t="inlineStr">
        <is>
          <t>CUST0002</t>
        </is>
      </c>
      <c r="C334" t="inlineStr">
        <is>
          <t>PROD070</t>
        </is>
      </c>
      <c r="D334" t="inlineStr">
        <is>
          <t>STORE039</t>
        </is>
      </c>
      <c r="E334" t="inlineStr">
        <is>
          <t>DP029</t>
        </is>
      </c>
      <c r="F334" t="inlineStr">
        <is>
          <t>2024-05-17 15:12:00</t>
        </is>
      </c>
      <c r="G334" t="inlineStr">
        <is>
          <t>2024-05-17 15:22:00</t>
        </is>
      </c>
      <c r="H334" s="14" t="n">
        <v>5</v>
      </c>
      <c r="I334" s="13" t="n">
        <v>2496.8</v>
      </c>
      <c r="J334" s="13" t="n">
        <v>481.61</v>
      </c>
      <c r="K334" s="16" t="n">
        <v>10</v>
      </c>
      <c r="L334" t="inlineStr">
        <is>
          <t>Shipped</t>
        </is>
      </c>
      <c r="M334" t="inlineStr">
        <is>
          <t>PAY01</t>
        </is>
      </c>
      <c r="N334" t="inlineStr">
        <is>
          <t>Afternoon</t>
        </is>
      </c>
      <c r="O334">
        <f>INDEX(Products_Catalog!$B$2:$B$151, MATCH(C334, Products_Catalog!$A$2:$A$151, 0))</f>
        <v/>
      </c>
      <c r="P334" s="13">
        <f>INDEX(Products_Catalog!$D$2:$D$151, MATCH(C334, Products_Catalog!$A$2:$A$151, 0))</f>
        <v/>
      </c>
      <c r="Q334" s="13">
        <f>I334-J334</f>
        <v/>
      </c>
      <c r="R334" s="15">
        <f>IF(K334&gt;20, "BREACH", "OK")</f>
        <v/>
      </c>
    </row>
    <row r="335">
      <c r="A335" t="inlineStr">
        <is>
          <t>ORD01326</t>
        </is>
      </c>
      <c r="B335" t="inlineStr">
        <is>
          <t>CUST0037</t>
        </is>
      </c>
      <c r="C335" t="inlineStr">
        <is>
          <t>PROD095</t>
        </is>
      </c>
      <c r="D335" t="inlineStr">
        <is>
          <t>STORE045</t>
        </is>
      </c>
      <c r="E335" t="inlineStr">
        <is>
          <t>DP001</t>
        </is>
      </c>
      <c r="F335" t="inlineStr">
        <is>
          <t>2024-11-16 09:06:00</t>
        </is>
      </c>
      <c r="G335" t="inlineStr">
        <is>
          <t>2024-11-16 09:17:00</t>
        </is>
      </c>
      <c r="H335" s="14" t="n">
        <v>2</v>
      </c>
      <c r="I335" s="13" t="n">
        <v>190.8</v>
      </c>
      <c r="J335" s="13" t="n">
        <v>36.94</v>
      </c>
      <c r="K335" s="16" t="n">
        <v>11</v>
      </c>
      <c r="L335" t="inlineStr">
        <is>
          <t>Pending</t>
        </is>
      </c>
      <c r="M335" t="inlineStr">
        <is>
          <t>PAY04</t>
        </is>
      </c>
      <c r="N335" t="inlineStr">
        <is>
          <t>Morning</t>
        </is>
      </c>
      <c r="O335">
        <f>INDEX(Products_Catalog!$B$2:$B$151, MATCH(C335, Products_Catalog!$A$2:$A$151, 0))</f>
        <v/>
      </c>
      <c r="P335" s="13">
        <f>INDEX(Products_Catalog!$D$2:$D$151, MATCH(C335, Products_Catalog!$A$2:$A$151, 0))</f>
        <v/>
      </c>
      <c r="Q335" s="13">
        <f>I335-J335</f>
        <v/>
      </c>
      <c r="R335" s="15">
        <f>IF(K335&gt;20, "BREACH", "OK")</f>
        <v/>
      </c>
    </row>
    <row r="336">
      <c r="A336" t="inlineStr">
        <is>
          <t>ORD01327</t>
        </is>
      </c>
      <c r="B336" t="inlineStr">
        <is>
          <t>CUST0017</t>
        </is>
      </c>
      <c r="C336" t="inlineStr">
        <is>
          <t>PROD028</t>
        </is>
      </c>
      <c r="D336" t="inlineStr">
        <is>
          <t>STORE035</t>
        </is>
      </c>
      <c r="E336" t="inlineStr">
        <is>
          <t>DP021</t>
        </is>
      </c>
      <c r="F336" t="inlineStr">
        <is>
          <t>2024-10-16 10:47:00</t>
        </is>
      </c>
      <c r="G336" t="inlineStr">
        <is>
          <t>2024-10-16 10:59:00</t>
        </is>
      </c>
      <c r="H336" s="14" t="n">
        <v>3</v>
      </c>
      <c r="I336" s="13" t="n">
        <v>406.77</v>
      </c>
      <c r="J336" s="13" t="n">
        <v>47.67</v>
      </c>
      <c r="K336" s="16" t="n">
        <v>12</v>
      </c>
      <c r="L336" t="inlineStr">
        <is>
          <t>Cancelled</t>
        </is>
      </c>
      <c r="M336" t="inlineStr">
        <is>
          <t>PAY01</t>
        </is>
      </c>
      <c r="N336" t="inlineStr">
        <is>
          <t>Morning</t>
        </is>
      </c>
      <c r="O336">
        <f>INDEX(Products_Catalog!$B$2:$B$151, MATCH(C336, Products_Catalog!$A$2:$A$151, 0))</f>
        <v/>
      </c>
      <c r="P336" s="13">
        <f>INDEX(Products_Catalog!$D$2:$D$151, MATCH(C336, Products_Catalog!$A$2:$A$151, 0))</f>
        <v/>
      </c>
      <c r="Q336" s="13">
        <f>I336-J336</f>
        <v/>
      </c>
      <c r="R336" s="15">
        <f>IF(K336&gt;20, "BREACH", "OK")</f>
        <v/>
      </c>
    </row>
    <row r="337">
      <c r="A337" t="inlineStr">
        <is>
          <t>ORD01328</t>
        </is>
      </c>
      <c r="B337" t="inlineStr">
        <is>
          <t>CUST0009</t>
        </is>
      </c>
      <c r="C337" t="inlineStr">
        <is>
          <t>PROD013</t>
        </is>
      </c>
      <c r="D337" t="inlineStr">
        <is>
          <t>STORE020</t>
        </is>
      </c>
      <c r="E337" t="inlineStr">
        <is>
          <t>DP001</t>
        </is>
      </c>
      <c r="F337" t="inlineStr">
        <is>
          <t>2025-02-15 14:35:00</t>
        </is>
      </c>
      <c r="G337" t="inlineStr">
        <is>
          <t>2025-02-15 14:48:00</t>
        </is>
      </c>
      <c r="H337" s="14" t="n">
        <v>6</v>
      </c>
      <c r="I337" s="13" t="n">
        <v>1001.52</v>
      </c>
      <c r="J337" s="13" t="n">
        <v>260.4</v>
      </c>
      <c r="K337" s="16" t="n">
        <v>13</v>
      </c>
      <c r="L337" t="inlineStr">
        <is>
          <t>Delivered</t>
        </is>
      </c>
      <c r="M337" t="inlineStr">
        <is>
          <t>PAY04</t>
        </is>
      </c>
      <c r="N337" t="inlineStr">
        <is>
          <t>Afternoon</t>
        </is>
      </c>
      <c r="O337">
        <f>INDEX(Products_Catalog!$B$2:$B$151, MATCH(C337, Products_Catalog!$A$2:$A$151, 0))</f>
        <v/>
      </c>
      <c r="P337" s="13">
        <f>INDEX(Products_Catalog!$D$2:$D$151, MATCH(C337, Products_Catalog!$A$2:$A$151, 0))</f>
        <v/>
      </c>
      <c r="Q337" s="13">
        <f>I337-J337</f>
        <v/>
      </c>
      <c r="R337" s="15">
        <f>IF(K337&gt;20, "BREACH", "OK")</f>
        <v/>
      </c>
    </row>
    <row r="338">
      <c r="A338" t="inlineStr">
        <is>
          <t>ORD01329</t>
        </is>
      </c>
      <c r="B338" t="inlineStr">
        <is>
          <t>CUST0007</t>
        </is>
      </c>
      <c r="C338" t="inlineStr">
        <is>
          <t>PROD041</t>
        </is>
      </c>
      <c r="D338" t="inlineStr">
        <is>
          <t>STORE012</t>
        </is>
      </c>
      <c r="E338" t="inlineStr">
        <is>
          <t>DP022</t>
        </is>
      </c>
      <c r="F338" t="inlineStr">
        <is>
          <t>2024-12-30 12:38:00</t>
        </is>
      </c>
      <c r="G338" t="inlineStr">
        <is>
          <t>2024-12-30 12:52:00</t>
        </is>
      </c>
      <c r="H338" s="14" t="n">
        <v>10</v>
      </c>
      <c r="I338" s="13" t="n">
        <v>1646.8</v>
      </c>
      <c r="J338" s="13" t="n">
        <v>46.83</v>
      </c>
      <c r="K338" s="16" t="n">
        <v>14</v>
      </c>
      <c r="L338" t="inlineStr">
        <is>
          <t>Cancelled</t>
        </is>
      </c>
      <c r="M338" t="inlineStr">
        <is>
          <t>PAY04</t>
        </is>
      </c>
      <c r="N338" t="inlineStr">
        <is>
          <t>Afternoon</t>
        </is>
      </c>
      <c r="O338">
        <f>INDEX(Products_Catalog!$B$2:$B$151, MATCH(C338, Products_Catalog!$A$2:$A$151, 0))</f>
        <v/>
      </c>
      <c r="P338" s="13">
        <f>INDEX(Products_Catalog!$D$2:$D$151, MATCH(C338, Products_Catalog!$A$2:$A$151, 0))</f>
        <v/>
      </c>
      <c r="Q338" s="13">
        <f>I338-J338</f>
        <v/>
      </c>
      <c r="R338" s="15">
        <f>IF(K338&gt;20, "BREACH", "OK")</f>
        <v/>
      </c>
    </row>
    <row r="339">
      <c r="A339" t="inlineStr">
        <is>
          <t>ORD01332</t>
        </is>
      </c>
      <c r="B339" t="inlineStr">
        <is>
          <t>CUST0036</t>
        </is>
      </c>
      <c r="C339" t="inlineStr">
        <is>
          <t>PROD124</t>
        </is>
      </c>
      <c r="D339" t="inlineStr">
        <is>
          <t>STORE035</t>
        </is>
      </c>
      <c r="E339" t="inlineStr">
        <is>
          <t>DP026</t>
        </is>
      </c>
      <c r="F339" t="inlineStr">
        <is>
          <t>2024-03-01 08:23:00</t>
        </is>
      </c>
      <c r="G339" t="inlineStr">
        <is>
          <t>2024-03-01 08:40:00</t>
        </is>
      </c>
      <c r="H339" s="14" t="n">
        <v>1</v>
      </c>
      <c r="I339" s="13" t="n">
        <v>389.15</v>
      </c>
      <c r="J339" s="13" t="n">
        <v>57.1</v>
      </c>
      <c r="K339" s="16" t="n">
        <v>17</v>
      </c>
      <c r="L339" t="inlineStr">
        <is>
          <t>Returned</t>
        </is>
      </c>
      <c r="M339" t="inlineStr">
        <is>
          <t>PAY03</t>
        </is>
      </c>
      <c r="N339" t="inlineStr">
        <is>
          <t>Morning</t>
        </is>
      </c>
      <c r="O339">
        <f>INDEX(Products_Catalog!$B$2:$B$151, MATCH(C339, Products_Catalog!$A$2:$A$151, 0))</f>
        <v/>
      </c>
      <c r="P339" s="13">
        <f>INDEX(Products_Catalog!$D$2:$D$151, MATCH(C339, Products_Catalog!$A$2:$A$151, 0))</f>
        <v/>
      </c>
      <c r="Q339" s="13">
        <f>I339-J339</f>
        <v/>
      </c>
      <c r="R339" s="15">
        <f>IF(K339&gt;20, "BREACH", "OK")</f>
        <v/>
      </c>
    </row>
    <row r="340">
      <c r="A340" t="inlineStr">
        <is>
          <t>ORD01333</t>
        </is>
      </c>
      <c r="B340" t="inlineStr">
        <is>
          <t>CUST0024</t>
        </is>
      </c>
      <c r="C340" t="inlineStr">
        <is>
          <t>PROD079</t>
        </is>
      </c>
      <c r="D340" t="inlineStr">
        <is>
          <t>STORE023</t>
        </is>
      </c>
      <c r="E340" t="inlineStr">
        <is>
          <t>DP019</t>
        </is>
      </c>
      <c r="F340" t="inlineStr">
        <is>
          <t>2024-11-02 17:27:00</t>
        </is>
      </c>
      <c r="G340" t="inlineStr">
        <is>
          <t>2024-11-02 17:45:00</t>
        </is>
      </c>
      <c r="H340" s="14" t="n">
        <v>7</v>
      </c>
      <c r="I340" s="13" t="n">
        <v>1325.73</v>
      </c>
      <c r="J340" s="13" t="n">
        <v>355.08</v>
      </c>
      <c r="K340" s="16" t="n">
        <v>18</v>
      </c>
      <c r="L340" t="inlineStr">
        <is>
          <t>Returned</t>
        </is>
      </c>
      <c r="M340" t="inlineStr">
        <is>
          <t>PAY04</t>
        </is>
      </c>
      <c r="N340" t="inlineStr">
        <is>
          <t>Evening</t>
        </is>
      </c>
      <c r="O340">
        <f>INDEX(Products_Catalog!$B$2:$B$151, MATCH(C340, Products_Catalog!$A$2:$A$151, 0))</f>
        <v/>
      </c>
      <c r="P340" s="13">
        <f>INDEX(Products_Catalog!$D$2:$D$151, MATCH(C340, Products_Catalog!$A$2:$A$151, 0))</f>
        <v/>
      </c>
      <c r="Q340" s="13">
        <f>I340-J340</f>
        <v/>
      </c>
      <c r="R340" s="15">
        <f>IF(K340&gt;20, "BREACH", "OK")</f>
        <v/>
      </c>
    </row>
    <row r="341">
      <c r="A341" t="inlineStr">
        <is>
          <t>ORD01334</t>
        </is>
      </c>
      <c r="B341" t="inlineStr">
        <is>
          <t>CUST0003</t>
        </is>
      </c>
      <c r="C341" t="inlineStr">
        <is>
          <t>PROD115</t>
        </is>
      </c>
      <c r="D341" t="inlineStr">
        <is>
          <t>STORE037</t>
        </is>
      </c>
      <c r="E341" t="inlineStr">
        <is>
          <t>DP042</t>
        </is>
      </c>
      <c r="F341" t="inlineStr">
        <is>
          <t>2024-04-01 14:04:00</t>
        </is>
      </c>
      <c r="G341" t="inlineStr">
        <is>
          <t>2024-04-01 14:23:00</t>
        </is>
      </c>
      <c r="H341" s="14" t="n">
        <v>10</v>
      </c>
      <c r="I341" s="13" t="n">
        <v>2944.7</v>
      </c>
      <c r="J341" s="13" t="n">
        <v>671.09</v>
      </c>
      <c r="K341" s="16" t="n">
        <v>19</v>
      </c>
      <c r="L341" t="inlineStr">
        <is>
          <t>Shipped</t>
        </is>
      </c>
      <c r="M341" t="inlineStr">
        <is>
          <t>PAY02</t>
        </is>
      </c>
      <c r="N341" t="inlineStr">
        <is>
          <t>Afternoon</t>
        </is>
      </c>
      <c r="O341">
        <f>INDEX(Products_Catalog!$B$2:$B$151, MATCH(C341, Products_Catalog!$A$2:$A$151, 0))</f>
        <v/>
      </c>
      <c r="P341" s="13">
        <f>INDEX(Products_Catalog!$D$2:$D$151, MATCH(C341, Products_Catalog!$A$2:$A$151, 0))</f>
        <v/>
      </c>
      <c r="Q341" s="13">
        <f>I341-J341</f>
        <v/>
      </c>
      <c r="R341" s="15">
        <f>IF(K341&gt;20, "BREACH", "OK")</f>
        <v/>
      </c>
    </row>
    <row r="342">
      <c r="A342" t="inlineStr">
        <is>
          <t>ORD01335</t>
        </is>
      </c>
      <c r="B342" t="inlineStr">
        <is>
          <t>CUST0050</t>
        </is>
      </c>
      <c r="C342" t="inlineStr">
        <is>
          <t>PROD010</t>
        </is>
      </c>
      <c r="D342" t="inlineStr">
        <is>
          <t>STORE039</t>
        </is>
      </c>
      <c r="E342" t="inlineStr">
        <is>
          <t>DP042</t>
        </is>
      </c>
      <c r="F342" t="inlineStr">
        <is>
          <t>2024-10-02 10:37:00</t>
        </is>
      </c>
      <c r="G342" t="inlineStr">
        <is>
          <t>2024-10-02 10:57:00</t>
        </is>
      </c>
      <c r="H342" s="14" t="n">
        <v>2</v>
      </c>
      <c r="I342" s="13" t="n">
        <v>381.7</v>
      </c>
      <c r="J342" s="13" t="n">
        <v>41.2</v>
      </c>
      <c r="K342" s="16" t="n">
        <v>20</v>
      </c>
      <c r="L342" t="inlineStr">
        <is>
          <t>Shipped</t>
        </is>
      </c>
      <c r="M342" t="inlineStr">
        <is>
          <t>PAY04</t>
        </is>
      </c>
      <c r="N342" t="inlineStr">
        <is>
          <t>Morning</t>
        </is>
      </c>
      <c r="O342">
        <f>INDEX(Products_Catalog!$B$2:$B$151, MATCH(C342, Products_Catalog!$A$2:$A$151, 0))</f>
        <v/>
      </c>
      <c r="P342" s="13">
        <f>INDEX(Products_Catalog!$D$2:$D$151, MATCH(C342, Products_Catalog!$A$2:$A$151, 0))</f>
        <v/>
      </c>
      <c r="Q342" s="13">
        <f>I342-J342</f>
        <v/>
      </c>
      <c r="R342" s="15">
        <f>IF(K342&gt;20, "BREACH", "OK")</f>
        <v/>
      </c>
    </row>
    <row r="343">
      <c r="A343" t="inlineStr">
        <is>
          <t>ORD01336</t>
        </is>
      </c>
      <c r="B343" t="inlineStr">
        <is>
          <t>CUST0019</t>
        </is>
      </c>
      <c r="C343" t="inlineStr">
        <is>
          <t>PROD051</t>
        </is>
      </c>
      <c r="D343" t="inlineStr">
        <is>
          <t>STORE027</t>
        </is>
      </c>
      <c r="E343" t="inlineStr">
        <is>
          <t>DP016</t>
        </is>
      </c>
      <c r="F343" t="inlineStr">
        <is>
          <t>2024-11-02 19:30:00</t>
        </is>
      </c>
      <c r="G343" t="inlineStr">
        <is>
          <t>2024-11-02 19:51:00</t>
        </is>
      </c>
      <c r="H343" s="14" t="n">
        <v>4</v>
      </c>
      <c r="I343" s="13" t="n">
        <v>695.84</v>
      </c>
      <c r="J343" s="13" t="n">
        <v>60.62</v>
      </c>
      <c r="K343" s="16" t="n">
        <v>21</v>
      </c>
      <c r="L343" t="inlineStr">
        <is>
          <t>Delivered</t>
        </is>
      </c>
      <c r="M343" t="inlineStr">
        <is>
          <t>PAY01</t>
        </is>
      </c>
      <c r="N343" t="inlineStr">
        <is>
          <t>Evening</t>
        </is>
      </c>
      <c r="O343">
        <f>INDEX(Products_Catalog!$B$2:$B$151, MATCH(C343, Products_Catalog!$A$2:$A$151, 0))</f>
        <v/>
      </c>
      <c r="P343" s="13">
        <f>INDEX(Products_Catalog!$D$2:$D$151, MATCH(C343, Products_Catalog!$A$2:$A$151, 0))</f>
        <v/>
      </c>
      <c r="Q343" s="13">
        <f>I343-J343</f>
        <v/>
      </c>
      <c r="R343" s="15">
        <f>IF(K343&gt;20, "BREACH", "OK")</f>
        <v/>
      </c>
    </row>
    <row r="344">
      <c r="A344" t="inlineStr">
        <is>
          <t>ORD01337</t>
        </is>
      </c>
      <c r="B344" t="inlineStr">
        <is>
          <t>CUST0040</t>
        </is>
      </c>
      <c r="C344" t="inlineStr">
        <is>
          <t>PROD001</t>
        </is>
      </c>
      <c r="D344" t="inlineStr">
        <is>
          <t>STORE039</t>
        </is>
      </c>
      <c r="E344" t="inlineStr">
        <is>
          <t>DP046</t>
        </is>
      </c>
      <c r="F344" t="inlineStr">
        <is>
          <t>2025-03-10 13:00:00</t>
        </is>
      </c>
      <c r="G344" t="inlineStr">
        <is>
          <t>2025-03-10 13:22:00</t>
        </is>
      </c>
      <c r="H344" s="14" t="n">
        <v>10</v>
      </c>
      <c r="I344" s="13" t="n">
        <v>4755.9</v>
      </c>
      <c r="J344" s="13" t="n">
        <v>1048.77</v>
      </c>
      <c r="K344" s="16" t="n">
        <v>22</v>
      </c>
      <c r="L344" t="inlineStr">
        <is>
          <t>Shipped</t>
        </is>
      </c>
      <c r="M344" t="inlineStr">
        <is>
          <t>PAY05</t>
        </is>
      </c>
      <c r="N344" t="inlineStr">
        <is>
          <t>Afternoon</t>
        </is>
      </c>
      <c r="O344">
        <f>INDEX(Products_Catalog!$B$2:$B$151, MATCH(C344, Products_Catalog!$A$2:$A$151, 0))</f>
        <v/>
      </c>
      <c r="P344" s="13">
        <f>INDEX(Products_Catalog!$D$2:$D$151, MATCH(C344, Products_Catalog!$A$2:$A$151, 0))</f>
        <v/>
      </c>
      <c r="Q344" s="13">
        <f>I344-J344</f>
        <v/>
      </c>
      <c r="R344" s="15">
        <f>IF(K344&gt;20, "BREACH", "OK")</f>
        <v/>
      </c>
    </row>
    <row r="345">
      <c r="A345" t="inlineStr">
        <is>
          <t>ORD01339</t>
        </is>
      </c>
      <c r="B345" t="inlineStr">
        <is>
          <t>CUST0032</t>
        </is>
      </c>
      <c r="C345" t="inlineStr">
        <is>
          <t>PROD054</t>
        </is>
      </c>
      <c r="D345" t="inlineStr">
        <is>
          <t>STORE004</t>
        </is>
      </c>
      <c r="E345" t="inlineStr">
        <is>
          <t>DP017</t>
        </is>
      </c>
      <c r="F345" t="inlineStr">
        <is>
          <t>2025-02-01 14:18:00</t>
        </is>
      </c>
      <c r="G345" t="inlineStr">
        <is>
          <t>2025-02-01 14:42:00</t>
        </is>
      </c>
      <c r="H345" s="14" t="n">
        <v>7</v>
      </c>
      <c r="I345" s="13" t="n">
        <v>1975.12</v>
      </c>
      <c r="J345" s="13" t="n">
        <v>26.81</v>
      </c>
      <c r="K345" s="16" t="n">
        <v>24</v>
      </c>
      <c r="L345" t="inlineStr">
        <is>
          <t>Cancelled</t>
        </is>
      </c>
      <c r="M345" t="inlineStr">
        <is>
          <t>PAY03</t>
        </is>
      </c>
      <c r="N345" t="inlineStr">
        <is>
          <t>Afternoon</t>
        </is>
      </c>
      <c r="O345">
        <f>INDEX(Products_Catalog!$B$2:$B$151, MATCH(C345, Products_Catalog!$A$2:$A$151, 0))</f>
        <v/>
      </c>
      <c r="P345" s="13">
        <f>INDEX(Products_Catalog!$D$2:$D$151, MATCH(C345, Products_Catalog!$A$2:$A$151, 0))</f>
        <v/>
      </c>
      <c r="Q345" s="13">
        <f>I345-J345</f>
        <v/>
      </c>
      <c r="R345" s="15">
        <f>IF(K345&gt;20, "BREACH", "OK")</f>
        <v/>
      </c>
    </row>
    <row r="346">
      <c r="A346" t="inlineStr">
        <is>
          <t>ORD01341</t>
        </is>
      </c>
      <c r="B346" t="inlineStr">
        <is>
          <t>CUST0032</t>
        </is>
      </c>
      <c r="C346" t="inlineStr">
        <is>
          <t>PROD088</t>
        </is>
      </c>
      <c r="D346" t="inlineStr">
        <is>
          <t>STORE004</t>
        </is>
      </c>
      <c r="E346" t="inlineStr">
        <is>
          <t>DP030</t>
        </is>
      </c>
      <c r="F346" t="inlineStr">
        <is>
          <t>2024-02-08 07:59:00</t>
        </is>
      </c>
      <c r="G346" t="inlineStr">
        <is>
          <t>2024-02-08 08:25:00</t>
        </is>
      </c>
      <c r="H346" s="14" t="n">
        <v>8</v>
      </c>
      <c r="I346" s="13" t="n">
        <v>1451.6</v>
      </c>
      <c r="J346" s="13" t="n">
        <v>414.94</v>
      </c>
      <c r="K346" s="16" t="n">
        <v>26</v>
      </c>
      <c r="L346" t="inlineStr">
        <is>
          <t>Returned</t>
        </is>
      </c>
      <c r="M346" t="inlineStr">
        <is>
          <t>PAY04</t>
        </is>
      </c>
      <c r="N346" t="inlineStr">
        <is>
          <t>Morning</t>
        </is>
      </c>
      <c r="O346">
        <f>INDEX(Products_Catalog!$B$2:$B$151, MATCH(C346, Products_Catalog!$A$2:$A$151, 0))</f>
        <v/>
      </c>
      <c r="P346" s="13">
        <f>INDEX(Products_Catalog!$D$2:$D$151, MATCH(C346, Products_Catalog!$A$2:$A$151, 0))</f>
        <v/>
      </c>
      <c r="Q346" s="13">
        <f>I346-J346</f>
        <v/>
      </c>
      <c r="R346" s="15">
        <f>IF(K346&gt;20, "BREACH", "OK")</f>
        <v/>
      </c>
    </row>
    <row r="347">
      <c r="A347" t="inlineStr">
        <is>
          <t>ORD01342</t>
        </is>
      </c>
      <c r="B347" t="inlineStr">
        <is>
          <t>CUST0024</t>
        </is>
      </c>
      <c r="C347" t="inlineStr">
        <is>
          <t>PROD012</t>
        </is>
      </c>
      <c r="D347" t="inlineStr">
        <is>
          <t>STORE049</t>
        </is>
      </c>
      <c r="E347" t="inlineStr">
        <is>
          <t>DP015</t>
        </is>
      </c>
      <c r="F347" t="inlineStr">
        <is>
          <t>2024-07-11 18:42:00</t>
        </is>
      </c>
      <c r="G347" t="inlineStr">
        <is>
          <t>2024-07-11 19:09:00</t>
        </is>
      </c>
      <c r="H347" s="14" t="n">
        <v>3</v>
      </c>
      <c r="I347" s="13" t="n">
        <v>492.33</v>
      </c>
      <c r="J347" s="13" t="n">
        <v>9.02</v>
      </c>
      <c r="K347" s="16" t="n">
        <v>27</v>
      </c>
      <c r="L347" t="inlineStr">
        <is>
          <t>Returned</t>
        </is>
      </c>
      <c r="M347" t="inlineStr">
        <is>
          <t>PAY01</t>
        </is>
      </c>
      <c r="N347" t="inlineStr">
        <is>
          <t>Evening</t>
        </is>
      </c>
      <c r="O347">
        <f>INDEX(Products_Catalog!$B$2:$B$151, MATCH(C347, Products_Catalog!$A$2:$A$151, 0))</f>
        <v/>
      </c>
      <c r="P347" s="13">
        <f>INDEX(Products_Catalog!$D$2:$D$151, MATCH(C347, Products_Catalog!$A$2:$A$151, 0))</f>
        <v/>
      </c>
      <c r="Q347" s="13">
        <f>I347-J347</f>
        <v/>
      </c>
      <c r="R347" s="15">
        <f>IF(K347&gt;20, "BREACH", "OK")</f>
        <v/>
      </c>
    </row>
    <row r="348">
      <c r="A348" t="inlineStr">
        <is>
          <t>ORD01343</t>
        </is>
      </c>
      <c r="B348" t="inlineStr">
        <is>
          <t>CUST0035</t>
        </is>
      </c>
      <c r="C348" t="inlineStr">
        <is>
          <t>PROD053</t>
        </is>
      </c>
      <c r="D348" t="inlineStr">
        <is>
          <t>STORE044</t>
        </is>
      </c>
      <c r="E348" t="inlineStr">
        <is>
          <t>DP018</t>
        </is>
      </c>
      <c r="F348" t="inlineStr">
        <is>
          <t>2025-02-16 13:22:00</t>
        </is>
      </c>
      <c r="G348" t="inlineStr">
        <is>
          <t>2025-02-16 13:50:00</t>
        </is>
      </c>
      <c r="H348" s="14" t="n">
        <v>4</v>
      </c>
      <c r="I348" s="13" t="n">
        <v>284.36</v>
      </c>
      <c r="J348" s="13" t="n">
        <v>21.72</v>
      </c>
      <c r="K348" s="16" t="n">
        <v>28</v>
      </c>
      <c r="L348" t="inlineStr">
        <is>
          <t>Shipped</t>
        </is>
      </c>
      <c r="M348" t="inlineStr">
        <is>
          <t>PAY02</t>
        </is>
      </c>
      <c r="N348" t="inlineStr">
        <is>
          <t>Afternoon</t>
        </is>
      </c>
      <c r="O348">
        <f>INDEX(Products_Catalog!$B$2:$B$151, MATCH(C348, Products_Catalog!$A$2:$A$151, 0))</f>
        <v/>
      </c>
      <c r="P348" s="13">
        <f>INDEX(Products_Catalog!$D$2:$D$151, MATCH(C348, Products_Catalog!$A$2:$A$151, 0))</f>
        <v/>
      </c>
      <c r="Q348" s="13">
        <f>I348-J348</f>
        <v/>
      </c>
      <c r="R348" s="15">
        <f>IF(K348&gt;20, "BREACH", "OK")</f>
        <v/>
      </c>
    </row>
    <row r="349">
      <c r="A349" t="inlineStr">
        <is>
          <t>ORD01344</t>
        </is>
      </c>
      <c r="B349" t="inlineStr">
        <is>
          <t>CUST0030</t>
        </is>
      </c>
      <c r="C349" t="inlineStr">
        <is>
          <t>PROD132</t>
        </is>
      </c>
      <c r="D349" t="inlineStr">
        <is>
          <t>STORE023</t>
        </is>
      </c>
      <c r="E349" t="inlineStr">
        <is>
          <t>DP014</t>
        </is>
      </c>
      <c r="F349" t="inlineStr">
        <is>
          <t>2025-01-25 20:03:00</t>
        </is>
      </c>
      <c r="G349" t="inlineStr">
        <is>
          <t>2025-01-25 20:32:00</t>
        </is>
      </c>
      <c r="H349" s="14" t="n">
        <v>8</v>
      </c>
      <c r="I349" s="13" t="n">
        <v>3876.56</v>
      </c>
      <c r="J349" s="13" t="n">
        <v>410.76</v>
      </c>
      <c r="K349" s="16" t="n">
        <v>29</v>
      </c>
      <c r="L349" t="inlineStr">
        <is>
          <t>Cancelled</t>
        </is>
      </c>
      <c r="M349" t="inlineStr">
        <is>
          <t>PAY05</t>
        </is>
      </c>
      <c r="N349" t="inlineStr">
        <is>
          <t>Evening</t>
        </is>
      </c>
      <c r="O349">
        <f>INDEX(Products_Catalog!$B$2:$B$151, MATCH(C349, Products_Catalog!$A$2:$A$151, 0))</f>
        <v/>
      </c>
      <c r="P349" s="13">
        <f>INDEX(Products_Catalog!$D$2:$D$151, MATCH(C349, Products_Catalog!$A$2:$A$151, 0))</f>
        <v/>
      </c>
      <c r="Q349" s="13">
        <f>I349-J349</f>
        <v/>
      </c>
      <c r="R349" s="15">
        <f>IF(K349&gt;20, "BREACH", "OK")</f>
        <v/>
      </c>
    </row>
    <row r="350">
      <c r="A350" t="inlineStr">
        <is>
          <t>ORD01345</t>
        </is>
      </c>
      <c r="B350" t="inlineStr">
        <is>
          <t>CUST0012</t>
        </is>
      </c>
      <c r="C350" t="inlineStr">
        <is>
          <t>PROD031</t>
        </is>
      </c>
      <c r="D350" t="inlineStr">
        <is>
          <t>STORE002</t>
        </is>
      </c>
      <c r="E350" t="inlineStr">
        <is>
          <t>DP022</t>
        </is>
      </c>
      <c r="F350" t="inlineStr">
        <is>
          <t>2024-01-11 16:16:00</t>
        </is>
      </c>
      <c r="G350" t="inlineStr">
        <is>
          <t>2024-01-11 16:46:00</t>
        </is>
      </c>
      <c r="H350" s="14" t="n">
        <v>7</v>
      </c>
      <c r="I350" s="13" t="n">
        <v>997.71</v>
      </c>
      <c r="J350" s="13" t="n">
        <v>95.83</v>
      </c>
      <c r="K350" s="16" t="n">
        <v>30</v>
      </c>
      <c r="L350" t="inlineStr">
        <is>
          <t>Cancelled</t>
        </is>
      </c>
      <c r="M350" t="inlineStr">
        <is>
          <t>PAY01</t>
        </is>
      </c>
      <c r="N350" t="inlineStr">
        <is>
          <t>Afternoon</t>
        </is>
      </c>
      <c r="O350">
        <f>INDEX(Products_Catalog!$B$2:$B$151, MATCH(C350, Products_Catalog!$A$2:$A$151, 0))</f>
        <v/>
      </c>
      <c r="P350" s="13">
        <f>INDEX(Products_Catalog!$D$2:$D$151, MATCH(C350, Products_Catalog!$A$2:$A$151, 0))</f>
        <v/>
      </c>
      <c r="Q350" s="13">
        <f>I350-J350</f>
        <v/>
      </c>
      <c r="R350" s="15">
        <f>IF(K350&gt;20, "BREACH", "OK")</f>
        <v/>
      </c>
    </row>
    <row r="351">
      <c r="A351" t="inlineStr">
        <is>
          <t>ORD01346</t>
        </is>
      </c>
      <c r="B351" t="inlineStr">
        <is>
          <t>CUST0039</t>
        </is>
      </c>
      <c r="C351" t="inlineStr">
        <is>
          <t>PROD092</t>
        </is>
      </c>
      <c r="D351" t="inlineStr">
        <is>
          <t>STORE028</t>
        </is>
      </c>
      <c r="E351" t="inlineStr">
        <is>
          <t>DP015</t>
        </is>
      </c>
      <c r="F351" t="inlineStr">
        <is>
          <t>2025-04-03 13:56:00</t>
        </is>
      </c>
      <c r="G351" t="inlineStr">
        <is>
          <t>2025-04-03 14:06:00</t>
        </is>
      </c>
      <c r="H351" s="14" t="n">
        <v>9</v>
      </c>
      <c r="I351" s="13" t="n">
        <v>4338.27</v>
      </c>
      <c r="J351" s="13" t="n">
        <v>158.25</v>
      </c>
      <c r="K351" s="16" t="n">
        <v>10</v>
      </c>
      <c r="L351" t="inlineStr">
        <is>
          <t>Shipped</t>
        </is>
      </c>
      <c r="M351" t="inlineStr">
        <is>
          <t>PAY02</t>
        </is>
      </c>
      <c r="N351" t="inlineStr">
        <is>
          <t>Afternoon</t>
        </is>
      </c>
      <c r="O351">
        <f>INDEX(Products_Catalog!$B$2:$B$151, MATCH(C351, Products_Catalog!$A$2:$A$151, 0))</f>
        <v/>
      </c>
      <c r="P351" s="13">
        <f>INDEX(Products_Catalog!$D$2:$D$151, MATCH(C351, Products_Catalog!$A$2:$A$151, 0))</f>
        <v/>
      </c>
      <c r="Q351" s="13">
        <f>I351-J351</f>
        <v/>
      </c>
      <c r="R351" s="15">
        <f>IF(K351&gt;20, "BREACH", "OK")</f>
        <v/>
      </c>
    </row>
    <row r="352">
      <c r="A352" t="inlineStr">
        <is>
          <t>ORD01347</t>
        </is>
      </c>
      <c r="B352" t="inlineStr">
        <is>
          <t>CUST0023</t>
        </is>
      </c>
      <c r="C352" t="inlineStr">
        <is>
          <t>PROD060</t>
        </is>
      </c>
      <c r="D352" t="inlineStr">
        <is>
          <t>STORE037</t>
        </is>
      </c>
      <c r="E352" t="inlineStr">
        <is>
          <t>DP005</t>
        </is>
      </c>
      <c r="F352" t="inlineStr">
        <is>
          <t>2024-12-30 17:38:00</t>
        </is>
      </c>
      <c r="G352" t="inlineStr">
        <is>
          <t>2024-12-30 17:49:00</t>
        </is>
      </c>
      <c r="H352" s="14" t="n">
        <v>8</v>
      </c>
      <c r="I352" s="13" t="n">
        <v>1332.64</v>
      </c>
      <c r="J352" s="13" t="n">
        <v>352.13</v>
      </c>
      <c r="K352" s="16" t="n">
        <v>11</v>
      </c>
      <c r="L352" t="inlineStr">
        <is>
          <t>Returned</t>
        </is>
      </c>
      <c r="M352" t="inlineStr">
        <is>
          <t>PAY02</t>
        </is>
      </c>
      <c r="N352" t="inlineStr">
        <is>
          <t>Evening</t>
        </is>
      </c>
      <c r="O352">
        <f>INDEX(Products_Catalog!$B$2:$B$151, MATCH(C352, Products_Catalog!$A$2:$A$151, 0))</f>
        <v/>
      </c>
      <c r="P352" s="13">
        <f>INDEX(Products_Catalog!$D$2:$D$151, MATCH(C352, Products_Catalog!$A$2:$A$151, 0))</f>
        <v/>
      </c>
      <c r="Q352" s="13">
        <f>I352-J352</f>
        <v/>
      </c>
      <c r="R352" s="15">
        <f>IF(K352&gt;20, "BREACH", "OK")</f>
        <v/>
      </c>
    </row>
    <row r="353">
      <c r="A353" t="inlineStr">
        <is>
          <t>ORD01350</t>
        </is>
      </c>
      <c r="B353" t="inlineStr">
        <is>
          <t>CUST0044</t>
        </is>
      </c>
      <c r="C353" t="inlineStr">
        <is>
          <t>PROD003</t>
        </is>
      </c>
      <c r="D353" t="inlineStr">
        <is>
          <t>STORE005</t>
        </is>
      </c>
      <c r="E353" t="inlineStr">
        <is>
          <t>DP047</t>
        </is>
      </c>
      <c r="F353" t="inlineStr">
        <is>
          <t>2024-06-27 17:16:00</t>
        </is>
      </c>
      <c r="G353" t="inlineStr">
        <is>
          <t>2024-06-27 17:32:00</t>
        </is>
      </c>
      <c r="H353" s="14" t="n">
        <v>6</v>
      </c>
      <c r="I353" s="13" t="n">
        <v>1069.08</v>
      </c>
      <c r="J353" s="13" t="n">
        <v>251.08</v>
      </c>
      <c r="K353" s="16" t="n">
        <v>16</v>
      </c>
      <c r="L353" t="inlineStr">
        <is>
          <t>Cancelled</t>
        </is>
      </c>
      <c r="M353" t="inlineStr">
        <is>
          <t>PAY04</t>
        </is>
      </c>
      <c r="N353" t="inlineStr">
        <is>
          <t>Evening</t>
        </is>
      </c>
      <c r="O353">
        <f>INDEX(Products_Catalog!$B$2:$B$151, MATCH(C353, Products_Catalog!$A$2:$A$151, 0))</f>
        <v/>
      </c>
      <c r="P353" s="13">
        <f>INDEX(Products_Catalog!$D$2:$D$151, MATCH(C353, Products_Catalog!$A$2:$A$151, 0))</f>
        <v/>
      </c>
      <c r="Q353" s="13">
        <f>I353-J353</f>
        <v/>
      </c>
      <c r="R353" s="15">
        <f>IF(K353&gt;20, "BREACH", "OK")</f>
        <v/>
      </c>
    </row>
    <row r="354">
      <c r="A354" t="inlineStr">
        <is>
          <t>ORD01351</t>
        </is>
      </c>
      <c r="B354" t="inlineStr">
        <is>
          <t>CUST0043</t>
        </is>
      </c>
      <c r="C354" t="inlineStr">
        <is>
          <t>PROD035</t>
        </is>
      </c>
      <c r="D354" t="inlineStr">
        <is>
          <t>STORE018</t>
        </is>
      </c>
      <c r="E354" t="inlineStr">
        <is>
          <t>DP049</t>
        </is>
      </c>
      <c r="F354" t="inlineStr">
        <is>
          <t>2024-04-22 13:49:00</t>
        </is>
      </c>
      <c r="G354" t="inlineStr">
        <is>
          <t>2024-04-22 14:06:00</t>
        </is>
      </c>
      <c r="H354" s="14" t="n">
        <v>6</v>
      </c>
      <c r="I354" s="13" t="n">
        <v>1024.62</v>
      </c>
      <c r="J354" s="13" t="n">
        <v>168.39</v>
      </c>
      <c r="K354" s="16" t="n">
        <v>17</v>
      </c>
      <c r="L354" t="inlineStr">
        <is>
          <t>Returned</t>
        </is>
      </c>
      <c r="M354" t="inlineStr">
        <is>
          <t>PAY01</t>
        </is>
      </c>
      <c r="N354" t="inlineStr">
        <is>
          <t>Afternoon</t>
        </is>
      </c>
      <c r="O354">
        <f>INDEX(Products_Catalog!$B$2:$B$151, MATCH(C354, Products_Catalog!$A$2:$A$151, 0))</f>
        <v/>
      </c>
      <c r="P354" s="13">
        <f>INDEX(Products_Catalog!$D$2:$D$151, MATCH(C354, Products_Catalog!$A$2:$A$151, 0))</f>
        <v/>
      </c>
      <c r="Q354" s="13">
        <f>I354-J354</f>
        <v/>
      </c>
      <c r="R354" s="15">
        <f>IF(K354&gt;20, "BREACH", "OK")</f>
        <v/>
      </c>
    </row>
    <row r="355">
      <c r="A355" t="inlineStr">
        <is>
          <t>ORD01352</t>
        </is>
      </c>
      <c r="B355" t="inlineStr">
        <is>
          <t>CUST0014</t>
        </is>
      </c>
      <c r="C355" t="inlineStr">
        <is>
          <t>PROD029</t>
        </is>
      </c>
      <c r="D355" t="inlineStr">
        <is>
          <t>STORE013</t>
        </is>
      </c>
      <c r="E355" t="inlineStr">
        <is>
          <t>DP038</t>
        </is>
      </c>
      <c r="F355" t="inlineStr">
        <is>
          <t>2024-05-30 11:54:00</t>
        </is>
      </c>
      <c r="G355" t="inlineStr">
        <is>
          <t>2024-05-30 12:12:00</t>
        </is>
      </c>
      <c r="H355" s="14" t="n">
        <v>9</v>
      </c>
      <c r="I355" s="13" t="n">
        <v>2262.96</v>
      </c>
      <c r="J355" s="13" t="n">
        <v>542.26</v>
      </c>
      <c r="K355" s="16" t="n">
        <v>18</v>
      </c>
      <c r="L355" t="inlineStr">
        <is>
          <t>Shipped</t>
        </is>
      </c>
      <c r="M355" t="inlineStr">
        <is>
          <t>PAY04</t>
        </is>
      </c>
      <c r="N355" t="inlineStr">
        <is>
          <t>Morning</t>
        </is>
      </c>
      <c r="O355">
        <f>INDEX(Products_Catalog!$B$2:$B$151, MATCH(C355, Products_Catalog!$A$2:$A$151, 0))</f>
        <v/>
      </c>
      <c r="P355" s="13">
        <f>INDEX(Products_Catalog!$D$2:$D$151, MATCH(C355, Products_Catalog!$A$2:$A$151, 0))</f>
        <v/>
      </c>
      <c r="Q355" s="13">
        <f>I355-J355</f>
        <v/>
      </c>
      <c r="R355" s="15">
        <f>IF(K355&gt;20, "BREACH", "OK")</f>
        <v/>
      </c>
    </row>
    <row r="356">
      <c r="A356" t="inlineStr">
        <is>
          <t>ORD01353</t>
        </is>
      </c>
      <c r="B356" t="inlineStr">
        <is>
          <t>CUST0028</t>
        </is>
      </c>
      <c r="C356" t="inlineStr">
        <is>
          <t>PROD137</t>
        </is>
      </c>
      <c r="D356" t="inlineStr">
        <is>
          <t>STORE050</t>
        </is>
      </c>
      <c r="E356" t="inlineStr">
        <is>
          <t>DP041</t>
        </is>
      </c>
      <c r="F356" t="inlineStr">
        <is>
          <t>2025-03-03 18:38:00</t>
        </is>
      </c>
      <c r="G356" t="inlineStr">
        <is>
          <t>2025-03-03 18:57:00</t>
        </is>
      </c>
      <c r="H356" s="14" t="n">
        <v>2</v>
      </c>
      <c r="I356" s="13" t="n">
        <v>638.58</v>
      </c>
      <c r="J356" s="13" t="n">
        <v>182.93</v>
      </c>
      <c r="K356" s="16" t="n">
        <v>19</v>
      </c>
      <c r="L356" t="inlineStr">
        <is>
          <t>Delivered</t>
        </is>
      </c>
      <c r="M356" t="inlineStr">
        <is>
          <t>PAY03</t>
        </is>
      </c>
      <c r="N356" t="inlineStr">
        <is>
          <t>Evening</t>
        </is>
      </c>
      <c r="O356">
        <f>INDEX(Products_Catalog!$B$2:$B$151, MATCH(C356, Products_Catalog!$A$2:$A$151, 0))</f>
        <v/>
      </c>
      <c r="P356" s="13">
        <f>INDEX(Products_Catalog!$D$2:$D$151, MATCH(C356, Products_Catalog!$A$2:$A$151, 0))</f>
        <v/>
      </c>
      <c r="Q356" s="13">
        <f>I356-J356</f>
        <v/>
      </c>
      <c r="R356" s="15">
        <f>IF(K356&gt;20, "BREACH", "OK")</f>
        <v/>
      </c>
    </row>
    <row r="357">
      <c r="A357" t="inlineStr">
        <is>
          <t>ORD01355</t>
        </is>
      </c>
      <c r="B357" t="inlineStr">
        <is>
          <t>CUST0013</t>
        </is>
      </c>
      <c r="C357" t="inlineStr">
        <is>
          <t>PROD112</t>
        </is>
      </c>
      <c r="D357" t="inlineStr">
        <is>
          <t>STORE024</t>
        </is>
      </c>
      <c r="E357" t="inlineStr">
        <is>
          <t>DP040</t>
        </is>
      </c>
      <c r="F357" t="inlineStr">
        <is>
          <t>2024-09-13 15:22:00</t>
        </is>
      </c>
      <c r="G357" t="inlineStr">
        <is>
          <t>2024-09-13 15:43:00</t>
        </is>
      </c>
      <c r="H357" s="14" t="n">
        <v>6</v>
      </c>
      <c r="I357" s="13" t="n">
        <v>2054.58</v>
      </c>
      <c r="J357" s="13" t="n">
        <v>69.7</v>
      </c>
      <c r="K357" s="16" t="n">
        <v>21</v>
      </c>
      <c r="L357" t="inlineStr">
        <is>
          <t>Cancelled</t>
        </is>
      </c>
      <c r="M357" t="inlineStr">
        <is>
          <t>PAY03</t>
        </is>
      </c>
      <c r="N357" t="inlineStr">
        <is>
          <t>Afternoon</t>
        </is>
      </c>
      <c r="O357">
        <f>INDEX(Products_Catalog!$B$2:$B$151, MATCH(C357, Products_Catalog!$A$2:$A$151, 0))</f>
        <v/>
      </c>
      <c r="P357" s="13">
        <f>INDEX(Products_Catalog!$D$2:$D$151, MATCH(C357, Products_Catalog!$A$2:$A$151, 0))</f>
        <v/>
      </c>
      <c r="Q357" s="13">
        <f>I357-J357</f>
        <v/>
      </c>
      <c r="R357" s="15">
        <f>IF(K357&gt;20, "BREACH", "OK")</f>
        <v/>
      </c>
    </row>
    <row r="358">
      <c r="A358" t="inlineStr">
        <is>
          <t>ORD01356</t>
        </is>
      </c>
      <c r="B358" t="inlineStr">
        <is>
          <t>CUST0049</t>
        </is>
      </c>
      <c r="C358" t="inlineStr">
        <is>
          <t>PROD096</t>
        </is>
      </c>
      <c r="D358" t="inlineStr">
        <is>
          <t>STORE046</t>
        </is>
      </c>
      <c r="E358" t="inlineStr">
        <is>
          <t>DP040</t>
        </is>
      </c>
      <c r="F358" t="inlineStr">
        <is>
          <t>2024-11-19 09:01:00</t>
        </is>
      </c>
      <c r="G358" t="inlineStr">
        <is>
          <t>2024-11-19 09:23:00</t>
        </is>
      </c>
      <c r="H358" s="14" t="n">
        <v>7</v>
      </c>
      <c r="I358" s="13" t="n">
        <v>2093.07</v>
      </c>
      <c r="J358" s="13" t="n">
        <v>310.5</v>
      </c>
      <c r="K358" s="16" t="n">
        <v>22</v>
      </c>
      <c r="L358" t="inlineStr">
        <is>
          <t>Returned</t>
        </is>
      </c>
      <c r="M358" t="inlineStr">
        <is>
          <t>PAY02</t>
        </is>
      </c>
      <c r="N358" t="inlineStr">
        <is>
          <t>Morning</t>
        </is>
      </c>
      <c r="O358">
        <f>INDEX(Products_Catalog!$B$2:$B$151, MATCH(C358, Products_Catalog!$A$2:$A$151, 0))</f>
        <v/>
      </c>
      <c r="P358" s="13">
        <f>INDEX(Products_Catalog!$D$2:$D$151, MATCH(C358, Products_Catalog!$A$2:$A$151, 0))</f>
        <v/>
      </c>
      <c r="Q358" s="13">
        <f>I358-J358</f>
        <v/>
      </c>
      <c r="R358" s="15">
        <f>IF(K358&gt;20, "BREACH", "OK")</f>
        <v/>
      </c>
    </row>
    <row r="359">
      <c r="A359" t="inlineStr">
        <is>
          <t>ORD01357</t>
        </is>
      </c>
      <c r="B359" t="inlineStr">
        <is>
          <t>CUST0013</t>
        </is>
      </c>
      <c r="C359" t="inlineStr">
        <is>
          <t>PROD033</t>
        </is>
      </c>
      <c r="D359" t="inlineStr">
        <is>
          <t>STORE032</t>
        </is>
      </c>
      <c r="E359" t="inlineStr">
        <is>
          <t>DP049</t>
        </is>
      </c>
      <c r="F359" t="inlineStr">
        <is>
          <t>2024-06-23 13:05:00</t>
        </is>
      </c>
      <c r="G359" t="inlineStr">
        <is>
          <t>2024-06-23 13:28:00</t>
        </is>
      </c>
      <c r="H359" s="14" t="n">
        <v>1</v>
      </c>
      <c r="I359" s="13" t="n">
        <v>297.62</v>
      </c>
      <c r="J359" s="13" t="n">
        <v>77.61</v>
      </c>
      <c r="K359" s="16" t="n">
        <v>23</v>
      </c>
      <c r="L359" t="inlineStr">
        <is>
          <t>Shipped</t>
        </is>
      </c>
      <c r="M359" t="inlineStr">
        <is>
          <t>PAY04</t>
        </is>
      </c>
      <c r="N359" t="inlineStr">
        <is>
          <t>Afternoon</t>
        </is>
      </c>
      <c r="O359">
        <f>INDEX(Products_Catalog!$B$2:$B$151, MATCH(C359, Products_Catalog!$A$2:$A$151, 0))</f>
        <v/>
      </c>
      <c r="P359" s="13">
        <f>INDEX(Products_Catalog!$D$2:$D$151, MATCH(C359, Products_Catalog!$A$2:$A$151, 0))</f>
        <v/>
      </c>
      <c r="Q359" s="13">
        <f>I359-J359</f>
        <v/>
      </c>
      <c r="R359" s="15">
        <f>IF(K359&gt;20, "BREACH", "OK")</f>
        <v/>
      </c>
    </row>
    <row r="360">
      <c r="A360" t="inlineStr">
        <is>
          <t>ORD01358</t>
        </is>
      </c>
      <c r="B360" t="inlineStr">
        <is>
          <t>CUST0047</t>
        </is>
      </c>
      <c r="C360" t="inlineStr">
        <is>
          <t>PROD006</t>
        </is>
      </c>
      <c r="D360" t="inlineStr">
        <is>
          <t>STORE048</t>
        </is>
      </c>
      <c r="E360" t="inlineStr">
        <is>
          <t>DP040</t>
        </is>
      </c>
      <c r="F360" t="inlineStr">
        <is>
          <t>2024-01-22 13:04:00</t>
        </is>
      </c>
      <c r="G360" t="inlineStr">
        <is>
          <t>2024-01-22 13:28:00</t>
        </is>
      </c>
      <c r="H360" s="14" t="n">
        <v>5</v>
      </c>
      <c r="I360" s="13" t="n">
        <v>478.7</v>
      </c>
      <c r="J360" s="13" t="n">
        <v>80.73999999999999</v>
      </c>
      <c r="K360" s="16" t="n">
        <v>24</v>
      </c>
      <c r="L360" t="inlineStr">
        <is>
          <t>Cancelled</t>
        </is>
      </c>
      <c r="M360" t="inlineStr">
        <is>
          <t>PAY04</t>
        </is>
      </c>
      <c r="N360" t="inlineStr">
        <is>
          <t>Afternoon</t>
        </is>
      </c>
      <c r="O360">
        <f>INDEX(Products_Catalog!$B$2:$B$151, MATCH(C360, Products_Catalog!$A$2:$A$151, 0))</f>
        <v/>
      </c>
      <c r="P360" s="13">
        <f>INDEX(Products_Catalog!$D$2:$D$151, MATCH(C360, Products_Catalog!$A$2:$A$151, 0))</f>
        <v/>
      </c>
      <c r="Q360" s="13">
        <f>I360-J360</f>
        <v/>
      </c>
      <c r="R360" s="15">
        <f>IF(K360&gt;20, "BREACH", "OK")</f>
        <v/>
      </c>
    </row>
    <row r="361">
      <c r="A361" t="inlineStr">
        <is>
          <t>ORD01359</t>
        </is>
      </c>
      <c r="B361" t="inlineStr">
        <is>
          <t>CUST0024</t>
        </is>
      </c>
      <c r="C361" t="inlineStr">
        <is>
          <t>PROD070</t>
        </is>
      </c>
      <c r="D361" t="inlineStr">
        <is>
          <t>STORE009</t>
        </is>
      </c>
      <c r="E361" t="inlineStr">
        <is>
          <t>DP045</t>
        </is>
      </c>
      <c r="F361" t="inlineStr">
        <is>
          <t>2024-10-14 16:22:00</t>
        </is>
      </c>
      <c r="G361" t="inlineStr">
        <is>
          <t>2024-10-14 16:47:00</t>
        </is>
      </c>
      <c r="H361" s="14" t="n">
        <v>2</v>
      </c>
      <c r="I361" s="13" t="n">
        <v>911.78</v>
      </c>
      <c r="J361" s="13" t="n">
        <v>189.88</v>
      </c>
      <c r="K361" s="16" t="n">
        <v>25</v>
      </c>
      <c r="L361" t="inlineStr">
        <is>
          <t>Cancelled</t>
        </is>
      </c>
      <c r="M361" t="inlineStr">
        <is>
          <t>PAY05</t>
        </is>
      </c>
      <c r="N361" t="inlineStr">
        <is>
          <t>Afternoon</t>
        </is>
      </c>
      <c r="O361">
        <f>INDEX(Products_Catalog!$B$2:$B$151, MATCH(C361, Products_Catalog!$A$2:$A$151, 0))</f>
        <v/>
      </c>
      <c r="P361" s="13">
        <f>INDEX(Products_Catalog!$D$2:$D$151, MATCH(C361, Products_Catalog!$A$2:$A$151, 0))</f>
        <v/>
      </c>
      <c r="Q361" s="13">
        <f>I361-J361</f>
        <v/>
      </c>
      <c r="R361" s="15">
        <f>IF(K361&gt;20, "BREACH", "OK")</f>
        <v/>
      </c>
    </row>
    <row r="362">
      <c r="A362" t="inlineStr">
        <is>
          <t>ORD01360</t>
        </is>
      </c>
      <c r="B362" t="inlineStr">
        <is>
          <t>CUST0018</t>
        </is>
      </c>
      <c r="C362" t="inlineStr">
        <is>
          <t>PROD039</t>
        </is>
      </c>
      <c r="D362" t="inlineStr">
        <is>
          <t>STORE011</t>
        </is>
      </c>
      <c r="E362" t="inlineStr">
        <is>
          <t>DP004</t>
        </is>
      </c>
      <c r="F362" t="inlineStr">
        <is>
          <t>2025-06-29 12:37:00</t>
        </is>
      </c>
      <c r="G362" t="inlineStr">
        <is>
          <t>2025-06-29 13:03:00</t>
        </is>
      </c>
      <c r="H362" s="14" t="n">
        <v>6</v>
      </c>
      <c r="I362" s="13" t="n">
        <v>2811.9</v>
      </c>
      <c r="J362" s="13" t="n">
        <v>212.51</v>
      </c>
      <c r="K362" s="16" t="n">
        <v>26</v>
      </c>
      <c r="L362" t="inlineStr">
        <is>
          <t>Returned</t>
        </is>
      </c>
      <c r="M362" t="inlineStr">
        <is>
          <t>PAY05</t>
        </is>
      </c>
      <c r="N362" t="inlineStr">
        <is>
          <t>Afternoon</t>
        </is>
      </c>
      <c r="O362">
        <f>INDEX(Products_Catalog!$B$2:$B$151, MATCH(C362, Products_Catalog!$A$2:$A$151, 0))</f>
        <v/>
      </c>
      <c r="P362" s="13">
        <f>INDEX(Products_Catalog!$D$2:$D$151, MATCH(C362, Products_Catalog!$A$2:$A$151, 0))</f>
        <v/>
      </c>
      <c r="Q362" s="13">
        <f>I362-J362</f>
        <v/>
      </c>
      <c r="R362" s="15">
        <f>IF(K362&gt;20, "BREACH", "OK")</f>
        <v/>
      </c>
    </row>
    <row r="363">
      <c r="A363" t="inlineStr">
        <is>
          <t>ORD01361</t>
        </is>
      </c>
      <c r="B363" t="inlineStr">
        <is>
          <t>CUST0041</t>
        </is>
      </c>
      <c r="C363" t="inlineStr">
        <is>
          <t>PROD013</t>
        </is>
      </c>
      <c r="D363" t="inlineStr">
        <is>
          <t>STORE013</t>
        </is>
      </c>
      <c r="E363" t="inlineStr">
        <is>
          <t>DP015</t>
        </is>
      </c>
      <c r="F363" t="inlineStr">
        <is>
          <t>2024-11-27 15:04:00</t>
        </is>
      </c>
      <c r="G363" t="inlineStr">
        <is>
          <t>2024-11-27 15:31:00</t>
        </is>
      </c>
      <c r="H363" s="14" t="n">
        <v>10</v>
      </c>
      <c r="I363" s="13" t="n">
        <v>3837.7</v>
      </c>
      <c r="J363" s="13" t="n">
        <v>71.18000000000001</v>
      </c>
      <c r="K363" s="16" t="n">
        <v>27</v>
      </c>
      <c r="L363" t="inlineStr">
        <is>
          <t>Returned</t>
        </is>
      </c>
      <c r="M363" t="inlineStr">
        <is>
          <t>PAY01</t>
        </is>
      </c>
      <c r="N363" t="inlineStr">
        <is>
          <t>Afternoon</t>
        </is>
      </c>
      <c r="O363">
        <f>INDEX(Products_Catalog!$B$2:$B$151, MATCH(C363, Products_Catalog!$A$2:$A$151, 0))</f>
        <v/>
      </c>
      <c r="P363" s="13">
        <f>INDEX(Products_Catalog!$D$2:$D$151, MATCH(C363, Products_Catalog!$A$2:$A$151, 0))</f>
        <v/>
      </c>
      <c r="Q363" s="13">
        <f>I363-J363</f>
        <v/>
      </c>
      <c r="R363" s="15">
        <f>IF(K363&gt;20, "BREACH", "OK")</f>
        <v/>
      </c>
    </row>
    <row r="364">
      <c r="A364" t="inlineStr">
        <is>
          <t>ORD01362</t>
        </is>
      </c>
      <c r="B364" t="inlineStr">
        <is>
          <t>CUST0039</t>
        </is>
      </c>
      <c r="C364" t="inlineStr">
        <is>
          <t>PROD110</t>
        </is>
      </c>
      <c r="D364" t="inlineStr">
        <is>
          <t>STORE034</t>
        </is>
      </c>
      <c r="E364" t="inlineStr">
        <is>
          <t>DP002</t>
        </is>
      </c>
      <c r="F364" t="inlineStr">
        <is>
          <t>2025-01-08 09:15:00</t>
        </is>
      </c>
      <c r="G364" t="inlineStr">
        <is>
          <t>2025-01-08 09:43:00</t>
        </is>
      </c>
      <c r="H364" s="14" t="n">
        <v>3</v>
      </c>
      <c r="I364" s="13" t="n">
        <v>989.97</v>
      </c>
      <c r="J364" s="13" t="n">
        <v>91.65000000000001</v>
      </c>
      <c r="K364" s="16" t="n">
        <v>28</v>
      </c>
      <c r="L364" t="inlineStr">
        <is>
          <t>Shipped</t>
        </is>
      </c>
      <c r="M364" t="inlineStr">
        <is>
          <t>PAY01</t>
        </is>
      </c>
      <c r="N364" t="inlineStr">
        <is>
          <t>Morning</t>
        </is>
      </c>
      <c r="O364">
        <f>INDEX(Products_Catalog!$B$2:$B$151, MATCH(C364, Products_Catalog!$A$2:$A$151, 0))</f>
        <v/>
      </c>
      <c r="P364" s="13">
        <f>INDEX(Products_Catalog!$D$2:$D$151, MATCH(C364, Products_Catalog!$A$2:$A$151, 0))</f>
        <v/>
      </c>
      <c r="Q364" s="13">
        <f>I364-J364</f>
        <v/>
      </c>
      <c r="R364" s="15">
        <f>IF(K364&gt;20, "BREACH", "OK")</f>
        <v/>
      </c>
    </row>
    <row r="365">
      <c r="A365" t="inlineStr">
        <is>
          <t>ORD01363</t>
        </is>
      </c>
      <c r="B365" t="inlineStr">
        <is>
          <t>CUST0001</t>
        </is>
      </c>
      <c r="C365" t="inlineStr">
        <is>
          <t>PROD105</t>
        </is>
      </c>
      <c r="D365" t="inlineStr">
        <is>
          <t>STORE007</t>
        </is>
      </c>
      <c r="E365" t="inlineStr">
        <is>
          <t>DP012</t>
        </is>
      </c>
      <c r="F365" t="inlineStr">
        <is>
          <t>2024-05-22 14:33:00</t>
        </is>
      </c>
      <c r="G365" t="inlineStr">
        <is>
          <t>2024-05-22 15:02:00</t>
        </is>
      </c>
      <c r="H365" s="14" t="n">
        <v>1</v>
      </c>
      <c r="I365" s="13" t="n">
        <v>201.94</v>
      </c>
      <c r="J365" s="13" t="n">
        <v>29.6</v>
      </c>
      <c r="K365" s="16" t="n">
        <v>29</v>
      </c>
      <c r="L365" t="inlineStr">
        <is>
          <t>Cancelled</t>
        </is>
      </c>
      <c r="M365" t="inlineStr">
        <is>
          <t>PAY01</t>
        </is>
      </c>
      <c r="N365" t="inlineStr">
        <is>
          <t>Afternoon</t>
        </is>
      </c>
      <c r="O365">
        <f>INDEX(Products_Catalog!$B$2:$B$151, MATCH(C365, Products_Catalog!$A$2:$A$151, 0))</f>
        <v/>
      </c>
      <c r="P365" s="13">
        <f>INDEX(Products_Catalog!$D$2:$D$151, MATCH(C365, Products_Catalog!$A$2:$A$151, 0))</f>
        <v/>
      </c>
      <c r="Q365" s="13">
        <f>I365-J365</f>
        <v/>
      </c>
      <c r="R365" s="15">
        <f>IF(K365&gt;20, "BREACH", "OK")</f>
        <v/>
      </c>
    </row>
    <row r="366">
      <c r="A366" t="inlineStr">
        <is>
          <t>ORD01365</t>
        </is>
      </c>
      <c r="B366" t="inlineStr">
        <is>
          <t>CUST0041</t>
        </is>
      </c>
      <c r="C366" t="inlineStr">
        <is>
          <t>PROD146</t>
        </is>
      </c>
      <c r="D366" t="inlineStr">
        <is>
          <t>STORE003</t>
        </is>
      </c>
      <c r="E366" t="inlineStr">
        <is>
          <t>DP039</t>
        </is>
      </c>
      <c r="F366" t="inlineStr">
        <is>
          <t>2024-01-17 13:13:00</t>
        </is>
      </c>
      <c r="G366" t="inlineStr">
        <is>
          <t>2024-01-17 13:23:00</t>
        </is>
      </c>
      <c r="H366" s="14" t="n">
        <v>1</v>
      </c>
      <c r="I366" s="13" t="n">
        <v>152.41</v>
      </c>
      <c r="J366" s="13" t="n">
        <v>18.65</v>
      </c>
      <c r="K366" s="16" t="n">
        <v>10</v>
      </c>
      <c r="L366" t="inlineStr">
        <is>
          <t>Returned</t>
        </is>
      </c>
      <c r="M366" t="inlineStr">
        <is>
          <t>PAY04</t>
        </is>
      </c>
      <c r="N366" t="inlineStr">
        <is>
          <t>Afternoon</t>
        </is>
      </c>
      <c r="O366">
        <f>INDEX(Products_Catalog!$B$2:$B$151, MATCH(C366, Products_Catalog!$A$2:$A$151, 0))</f>
        <v/>
      </c>
      <c r="P366" s="13">
        <f>INDEX(Products_Catalog!$D$2:$D$151, MATCH(C366, Products_Catalog!$A$2:$A$151, 0))</f>
        <v/>
      </c>
      <c r="Q366" s="13">
        <f>I366-J366</f>
        <v/>
      </c>
      <c r="R366" s="15">
        <f>IF(K366&gt;20, "BREACH", "OK")</f>
        <v/>
      </c>
    </row>
    <row r="367">
      <c r="A367" t="inlineStr">
        <is>
          <t>ORD01366</t>
        </is>
      </c>
      <c r="B367" t="inlineStr">
        <is>
          <t>CUST0018</t>
        </is>
      </c>
      <c r="C367" t="inlineStr">
        <is>
          <t>PROD028</t>
        </is>
      </c>
      <c r="D367" t="inlineStr">
        <is>
          <t>STORE015</t>
        </is>
      </c>
      <c r="E367" t="inlineStr">
        <is>
          <t>DP001</t>
        </is>
      </c>
      <c r="F367" t="inlineStr">
        <is>
          <t>2025-01-15 20:15:00</t>
        </is>
      </c>
      <c r="G367" t="inlineStr">
        <is>
          <t>2025-01-15 20:26:00</t>
        </is>
      </c>
      <c r="H367" s="14" t="n">
        <v>6</v>
      </c>
      <c r="I367" s="13" t="n">
        <v>2285.28</v>
      </c>
      <c r="J367" s="13" t="n">
        <v>7.36</v>
      </c>
      <c r="K367" s="16" t="n">
        <v>11</v>
      </c>
      <c r="L367" t="inlineStr">
        <is>
          <t>Returned</t>
        </is>
      </c>
      <c r="M367" t="inlineStr">
        <is>
          <t>PAY03</t>
        </is>
      </c>
      <c r="N367" t="inlineStr">
        <is>
          <t>Evening</t>
        </is>
      </c>
      <c r="O367">
        <f>INDEX(Products_Catalog!$B$2:$B$151, MATCH(C367, Products_Catalog!$A$2:$A$151, 0))</f>
        <v/>
      </c>
      <c r="P367" s="13">
        <f>INDEX(Products_Catalog!$D$2:$D$151, MATCH(C367, Products_Catalog!$A$2:$A$151, 0))</f>
        <v/>
      </c>
      <c r="Q367" s="13">
        <f>I367-J367</f>
        <v/>
      </c>
      <c r="R367" s="15">
        <f>IF(K367&gt;20, "BREACH", "OK")</f>
        <v/>
      </c>
    </row>
    <row r="368">
      <c r="A368" t="inlineStr">
        <is>
          <t>ORD01367</t>
        </is>
      </c>
      <c r="B368" t="inlineStr">
        <is>
          <t>CUST0034</t>
        </is>
      </c>
      <c r="C368" t="inlineStr">
        <is>
          <t>PROD079</t>
        </is>
      </c>
      <c r="D368" t="inlineStr">
        <is>
          <t>STORE030</t>
        </is>
      </c>
      <c r="E368" t="inlineStr">
        <is>
          <t>DP038</t>
        </is>
      </c>
      <c r="F368" t="inlineStr">
        <is>
          <t>2025-01-31 11:17:00</t>
        </is>
      </c>
      <c r="G368" t="inlineStr">
        <is>
          <t>2025-01-31 11:29:00</t>
        </is>
      </c>
      <c r="H368" s="14" t="n">
        <v>9</v>
      </c>
      <c r="I368" s="13" t="n">
        <v>1891.71</v>
      </c>
      <c r="J368" s="13" t="n">
        <v>286.29</v>
      </c>
      <c r="K368" s="16" t="n">
        <v>12</v>
      </c>
      <c r="L368" t="inlineStr">
        <is>
          <t>Returned</t>
        </is>
      </c>
      <c r="M368" t="inlineStr">
        <is>
          <t>PAY04</t>
        </is>
      </c>
      <c r="N368" t="inlineStr">
        <is>
          <t>Morning</t>
        </is>
      </c>
      <c r="O368">
        <f>INDEX(Products_Catalog!$B$2:$B$151, MATCH(C368, Products_Catalog!$A$2:$A$151, 0))</f>
        <v/>
      </c>
      <c r="P368" s="13">
        <f>INDEX(Products_Catalog!$D$2:$D$151, MATCH(C368, Products_Catalog!$A$2:$A$151, 0))</f>
        <v/>
      </c>
      <c r="Q368" s="13">
        <f>I368-J368</f>
        <v/>
      </c>
      <c r="R368" s="15">
        <f>IF(K368&gt;20, "BREACH", "OK")</f>
        <v/>
      </c>
    </row>
    <row r="369">
      <c r="A369" t="inlineStr">
        <is>
          <t>ORD01368</t>
        </is>
      </c>
      <c r="B369" t="inlineStr">
        <is>
          <t>CUST0026</t>
        </is>
      </c>
      <c r="C369" t="inlineStr">
        <is>
          <t>PROD055</t>
        </is>
      </c>
      <c r="D369" t="inlineStr">
        <is>
          <t>STORE044</t>
        </is>
      </c>
      <c r="E369" t="inlineStr">
        <is>
          <t>DP003</t>
        </is>
      </c>
      <c r="F369" t="inlineStr">
        <is>
          <t>2024-06-04 16:20:00</t>
        </is>
      </c>
      <c r="G369" t="inlineStr">
        <is>
          <t>2024-06-04 16:33:00</t>
        </is>
      </c>
      <c r="H369" s="14" t="n">
        <v>3</v>
      </c>
      <c r="I369" s="13" t="n">
        <v>998.52</v>
      </c>
      <c r="J369" s="13" t="n">
        <v>200.71</v>
      </c>
      <c r="K369" s="16" t="n">
        <v>13</v>
      </c>
      <c r="L369" t="inlineStr">
        <is>
          <t>Delivered</t>
        </is>
      </c>
      <c r="M369" t="inlineStr">
        <is>
          <t>PAY01</t>
        </is>
      </c>
      <c r="N369" t="inlineStr">
        <is>
          <t>Afternoon</t>
        </is>
      </c>
      <c r="O369">
        <f>INDEX(Products_Catalog!$B$2:$B$151, MATCH(C369, Products_Catalog!$A$2:$A$151, 0))</f>
        <v/>
      </c>
      <c r="P369" s="13">
        <f>INDEX(Products_Catalog!$D$2:$D$151, MATCH(C369, Products_Catalog!$A$2:$A$151, 0))</f>
        <v/>
      </c>
      <c r="Q369" s="13">
        <f>I369-J369</f>
        <v/>
      </c>
      <c r="R369" s="15">
        <f>IF(K369&gt;20, "BREACH", "OK")</f>
        <v/>
      </c>
    </row>
    <row r="370">
      <c r="A370" t="inlineStr">
        <is>
          <t>ORD01370</t>
        </is>
      </c>
      <c r="B370" t="inlineStr">
        <is>
          <t>CUST0047</t>
        </is>
      </c>
      <c r="C370" t="inlineStr">
        <is>
          <t>PROD104</t>
        </is>
      </c>
      <c r="D370" t="inlineStr">
        <is>
          <t>STORE041</t>
        </is>
      </c>
      <c r="E370" t="inlineStr">
        <is>
          <t>DP030</t>
        </is>
      </c>
      <c r="F370" t="inlineStr">
        <is>
          <t>2024-03-11 19:49:00</t>
        </is>
      </c>
      <c r="G370" t="inlineStr">
        <is>
          <t>2024-03-11 20:04:00</t>
        </is>
      </c>
      <c r="H370" s="14" t="n">
        <v>6</v>
      </c>
      <c r="I370" s="13" t="n">
        <v>2730.9</v>
      </c>
      <c r="J370" s="13" t="n">
        <v>452.44</v>
      </c>
      <c r="K370" s="16" t="n">
        <v>15</v>
      </c>
      <c r="L370" t="inlineStr">
        <is>
          <t>Delivered</t>
        </is>
      </c>
      <c r="M370" t="inlineStr">
        <is>
          <t>PAY01</t>
        </is>
      </c>
      <c r="N370" t="inlineStr">
        <is>
          <t>Evening</t>
        </is>
      </c>
      <c r="O370">
        <f>INDEX(Products_Catalog!$B$2:$B$151, MATCH(C370, Products_Catalog!$A$2:$A$151, 0))</f>
        <v/>
      </c>
      <c r="P370" s="13">
        <f>INDEX(Products_Catalog!$D$2:$D$151, MATCH(C370, Products_Catalog!$A$2:$A$151, 0))</f>
        <v/>
      </c>
      <c r="Q370" s="13">
        <f>I370-J370</f>
        <v/>
      </c>
      <c r="R370" s="15">
        <f>IF(K370&gt;20, "BREACH", "OK")</f>
        <v/>
      </c>
    </row>
    <row r="371">
      <c r="A371" t="inlineStr">
        <is>
          <t>ORD01371</t>
        </is>
      </c>
      <c r="B371" t="inlineStr">
        <is>
          <t>CUST0009</t>
        </is>
      </c>
      <c r="C371" t="inlineStr">
        <is>
          <t>PROD058</t>
        </is>
      </c>
      <c r="D371" t="inlineStr">
        <is>
          <t>STORE004</t>
        </is>
      </c>
      <c r="E371" t="inlineStr">
        <is>
          <t>DP043</t>
        </is>
      </c>
      <c r="F371" t="inlineStr">
        <is>
          <t>2025-01-25 11:49:00</t>
        </is>
      </c>
      <c r="G371" t="inlineStr">
        <is>
          <t>2025-01-25 12:05:00</t>
        </is>
      </c>
      <c r="H371" s="14" t="n">
        <v>8</v>
      </c>
      <c r="I371" s="13" t="n">
        <v>894.24</v>
      </c>
      <c r="J371" s="13" t="n">
        <v>116.02</v>
      </c>
      <c r="K371" s="16" t="n">
        <v>16</v>
      </c>
      <c r="L371" t="inlineStr">
        <is>
          <t>Shipped</t>
        </is>
      </c>
      <c r="M371" t="inlineStr">
        <is>
          <t>PAY01</t>
        </is>
      </c>
      <c r="N371" t="inlineStr">
        <is>
          <t>Morning</t>
        </is>
      </c>
      <c r="O371">
        <f>INDEX(Products_Catalog!$B$2:$B$151, MATCH(C371, Products_Catalog!$A$2:$A$151, 0))</f>
        <v/>
      </c>
      <c r="P371" s="13">
        <f>INDEX(Products_Catalog!$D$2:$D$151, MATCH(C371, Products_Catalog!$A$2:$A$151, 0))</f>
        <v/>
      </c>
      <c r="Q371" s="13">
        <f>I371-J371</f>
        <v/>
      </c>
      <c r="R371" s="15">
        <f>IF(K371&gt;20, "BREACH", "OK")</f>
        <v/>
      </c>
    </row>
    <row r="372">
      <c r="A372" t="inlineStr">
        <is>
          <t>ORD01373</t>
        </is>
      </c>
      <c r="B372" t="inlineStr">
        <is>
          <t>CUST0049</t>
        </is>
      </c>
      <c r="C372" t="inlineStr">
        <is>
          <t>PROD140</t>
        </is>
      </c>
      <c r="D372" t="inlineStr">
        <is>
          <t>STORE011</t>
        </is>
      </c>
      <c r="E372" t="inlineStr">
        <is>
          <t>DP004</t>
        </is>
      </c>
      <c r="F372" t="inlineStr">
        <is>
          <t>2024-05-13 15:31:00</t>
        </is>
      </c>
      <c r="G372" t="inlineStr">
        <is>
          <t>2024-05-13 15:49:00</t>
        </is>
      </c>
      <c r="H372" s="14" t="n">
        <v>8</v>
      </c>
      <c r="I372" s="13" t="n">
        <v>701.52</v>
      </c>
      <c r="J372" s="13" t="n">
        <v>54.59</v>
      </c>
      <c r="K372" s="16" t="n">
        <v>18</v>
      </c>
      <c r="L372" t="inlineStr">
        <is>
          <t>Returned</t>
        </is>
      </c>
      <c r="M372" t="inlineStr">
        <is>
          <t>PAY05</t>
        </is>
      </c>
      <c r="N372" t="inlineStr">
        <is>
          <t>Afternoon</t>
        </is>
      </c>
      <c r="O372">
        <f>INDEX(Products_Catalog!$B$2:$B$151, MATCH(C372, Products_Catalog!$A$2:$A$151, 0))</f>
        <v/>
      </c>
      <c r="P372" s="13">
        <f>INDEX(Products_Catalog!$D$2:$D$151, MATCH(C372, Products_Catalog!$A$2:$A$151, 0))</f>
        <v/>
      </c>
      <c r="Q372" s="13">
        <f>I372-J372</f>
        <v/>
      </c>
      <c r="R372" s="15">
        <f>IF(K372&gt;20, "BREACH", "OK")</f>
        <v/>
      </c>
    </row>
    <row r="373">
      <c r="A373" t="inlineStr">
        <is>
          <t>ORD01374</t>
        </is>
      </c>
      <c r="B373" t="inlineStr">
        <is>
          <t>CUST0046</t>
        </is>
      </c>
      <c r="C373" t="inlineStr">
        <is>
          <t>PROD028</t>
        </is>
      </c>
      <c r="D373" t="inlineStr">
        <is>
          <t>STORE008</t>
        </is>
      </c>
      <c r="E373" t="inlineStr">
        <is>
          <t>DP027</t>
        </is>
      </c>
      <c r="F373" t="inlineStr">
        <is>
          <t>2025-05-13 12:45:00</t>
        </is>
      </c>
      <c r="G373" t="inlineStr">
        <is>
          <t>2025-05-13 13:04:00</t>
        </is>
      </c>
      <c r="H373" s="14" t="n">
        <v>8</v>
      </c>
      <c r="I373" s="13" t="n">
        <v>2931.44</v>
      </c>
      <c r="J373" s="13" t="n">
        <v>137.66</v>
      </c>
      <c r="K373" s="16" t="n">
        <v>19</v>
      </c>
      <c r="L373" t="inlineStr">
        <is>
          <t>Shipped</t>
        </is>
      </c>
      <c r="M373" t="inlineStr">
        <is>
          <t>PAY02</t>
        </is>
      </c>
      <c r="N373" t="inlineStr">
        <is>
          <t>Afternoon</t>
        </is>
      </c>
      <c r="O373">
        <f>INDEX(Products_Catalog!$B$2:$B$151, MATCH(C373, Products_Catalog!$A$2:$A$151, 0))</f>
        <v/>
      </c>
      <c r="P373" s="13">
        <f>INDEX(Products_Catalog!$D$2:$D$151, MATCH(C373, Products_Catalog!$A$2:$A$151, 0))</f>
        <v/>
      </c>
      <c r="Q373" s="13">
        <f>I373-J373</f>
        <v/>
      </c>
      <c r="R373" s="15">
        <f>IF(K373&gt;20, "BREACH", "OK")</f>
        <v/>
      </c>
    </row>
    <row r="374">
      <c r="A374" t="inlineStr">
        <is>
          <t>ORD01375</t>
        </is>
      </c>
      <c r="B374" t="inlineStr">
        <is>
          <t>CUST0038</t>
        </is>
      </c>
      <c r="C374" t="inlineStr">
        <is>
          <t>PROD028</t>
        </is>
      </c>
      <c r="D374" t="inlineStr">
        <is>
          <t>STORE020</t>
        </is>
      </c>
      <c r="E374" t="inlineStr">
        <is>
          <t>DP012</t>
        </is>
      </c>
      <c r="F374" t="inlineStr">
        <is>
          <t>2024-06-29 11:27:00</t>
        </is>
      </c>
      <c r="G374" t="inlineStr">
        <is>
          <t>2024-06-29 11:47:00</t>
        </is>
      </c>
      <c r="H374" s="14" t="n">
        <v>1</v>
      </c>
      <c r="I374" s="13" t="n">
        <v>358.4</v>
      </c>
      <c r="J374" s="13" t="n">
        <v>15.87</v>
      </c>
      <c r="K374" s="16" t="n">
        <v>20</v>
      </c>
      <c r="L374" t="inlineStr">
        <is>
          <t>Shipped</t>
        </is>
      </c>
      <c r="M374" t="inlineStr">
        <is>
          <t>PAY02</t>
        </is>
      </c>
      <c r="N374" t="inlineStr">
        <is>
          <t>Morning</t>
        </is>
      </c>
      <c r="O374">
        <f>INDEX(Products_Catalog!$B$2:$B$151, MATCH(C374, Products_Catalog!$A$2:$A$151, 0))</f>
        <v/>
      </c>
      <c r="P374" s="13">
        <f>INDEX(Products_Catalog!$D$2:$D$151, MATCH(C374, Products_Catalog!$A$2:$A$151, 0))</f>
        <v/>
      </c>
      <c r="Q374" s="13">
        <f>I374-J374</f>
        <v/>
      </c>
      <c r="R374" s="15">
        <f>IF(K374&gt;20, "BREACH", "OK")</f>
        <v/>
      </c>
    </row>
    <row r="375">
      <c r="A375" t="inlineStr">
        <is>
          <t>ORD01376</t>
        </is>
      </c>
      <c r="B375" t="inlineStr">
        <is>
          <t>CUST0007</t>
        </is>
      </c>
      <c r="C375" t="inlineStr">
        <is>
          <t>PROD059</t>
        </is>
      </c>
      <c r="D375" t="inlineStr">
        <is>
          <t>STORE018</t>
        </is>
      </c>
      <c r="E375" t="inlineStr">
        <is>
          <t>DP017</t>
        </is>
      </c>
      <c r="F375" t="inlineStr">
        <is>
          <t>2024-07-26 17:40:00</t>
        </is>
      </c>
      <c r="G375" t="inlineStr">
        <is>
          <t>2024-07-26 18:01:00</t>
        </is>
      </c>
      <c r="H375" s="14" t="n">
        <v>2</v>
      </c>
      <c r="I375" s="13" t="n">
        <v>171.56</v>
      </c>
      <c r="J375" s="13" t="n">
        <v>37.3</v>
      </c>
      <c r="K375" s="16" t="n">
        <v>21</v>
      </c>
      <c r="L375" t="inlineStr">
        <is>
          <t>Returned</t>
        </is>
      </c>
      <c r="M375" t="inlineStr">
        <is>
          <t>PAY05</t>
        </is>
      </c>
      <c r="N375" t="inlineStr">
        <is>
          <t>Evening</t>
        </is>
      </c>
      <c r="O375">
        <f>INDEX(Products_Catalog!$B$2:$B$151, MATCH(C375, Products_Catalog!$A$2:$A$151, 0))</f>
        <v/>
      </c>
      <c r="P375" s="13">
        <f>INDEX(Products_Catalog!$D$2:$D$151, MATCH(C375, Products_Catalog!$A$2:$A$151, 0))</f>
        <v/>
      </c>
      <c r="Q375" s="13">
        <f>I375-J375</f>
        <v/>
      </c>
      <c r="R375" s="15">
        <f>IF(K375&gt;20, "BREACH", "OK")</f>
        <v/>
      </c>
    </row>
    <row r="376">
      <c r="A376" t="inlineStr">
        <is>
          <t>ORD01378</t>
        </is>
      </c>
      <c r="B376" t="inlineStr">
        <is>
          <t>CUST0026</t>
        </is>
      </c>
      <c r="C376" t="inlineStr">
        <is>
          <t>PROD119</t>
        </is>
      </c>
      <c r="D376" t="inlineStr">
        <is>
          <t>STORE030</t>
        </is>
      </c>
      <c r="E376" t="inlineStr">
        <is>
          <t>DP006</t>
        </is>
      </c>
      <c r="F376" t="inlineStr">
        <is>
          <t>2024-04-02 13:42:00</t>
        </is>
      </c>
      <c r="G376" t="inlineStr">
        <is>
          <t>2024-04-02 14:05:00</t>
        </is>
      </c>
      <c r="H376" s="14" t="n">
        <v>5</v>
      </c>
      <c r="I376" s="13" t="n">
        <v>553.45</v>
      </c>
      <c r="J376" s="13" t="n">
        <v>60.67</v>
      </c>
      <c r="K376" s="16" t="n">
        <v>23</v>
      </c>
      <c r="L376" t="inlineStr">
        <is>
          <t>Delivered</t>
        </is>
      </c>
      <c r="M376" t="inlineStr">
        <is>
          <t>PAY04</t>
        </is>
      </c>
      <c r="N376" t="inlineStr">
        <is>
          <t>Afternoon</t>
        </is>
      </c>
      <c r="O376">
        <f>INDEX(Products_Catalog!$B$2:$B$151, MATCH(C376, Products_Catalog!$A$2:$A$151, 0))</f>
        <v/>
      </c>
      <c r="P376" s="13">
        <f>INDEX(Products_Catalog!$D$2:$D$151, MATCH(C376, Products_Catalog!$A$2:$A$151, 0))</f>
        <v/>
      </c>
      <c r="Q376" s="13">
        <f>I376-J376</f>
        <v/>
      </c>
      <c r="R376" s="15">
        <f>IF(K376&gt;20, "BREACH", "OK")</f>
        <v/>
      </c>
    </row>
    <row r="377">
      <c r="A377" t="inlineStr">
        <is>
          <t>ORD01379</t>
        </is>
      </c>
      <c r="B377" t="inlineStr">
        <is>
          <t>CUST0004</t>
        </is>
      </c>
      <c r="C377" t="inlineStr">
        <is>
          <t>PROD116</t>
        </is>
      </c>
      <c r="D377" t="inlineStr">
        <is>
          <t>STORE042</t>
        </is>
      </c>
      <c r="E377" t="inlineStr">
        <is>
          <t>DP033</t>
        </is>
      </c>
      <c r="F377" t="inlineStr">
        <is>
          <t>2024-05-03 13:34:00</t>
        </is>
      </c>
      <c r="G377" t="inlineStr">
        <is>
          <t>2024-05-03 13:58:00</t>
        </is>
      </c>
      <c r="H377" s="14" t="n">
        <v>7</v>
      </c>
      <c r="I377" s="13" t="n">
        <v>1405.25</v>
      </c>
      <c r="J377" s="13" t="n">
        <v>86.72</v>
      </c>
      <c r="K377" s="16" t="n">
        <v>24</v>
      </c>
      <c r="L377" t="inlineStr">
        <is>
          <t>Shipped</t>
        </is>
      </c>
      <c r="M377" t="inlineStr">
        <is>
          <t>PAY03</t>
        </is>
      </c>
      <c r="N377" t="inlineStr">
        <is>
          <t>Afternoon</t>
        </is>
      </c>
      <c r="O377">
        <f>INDEX(Products_Catalog!$B$2:$B$151, MATCH(C377, Products_Catalog!$A$2:$A$151, 0))</f>
        <v/>
      </c>
      <c r="P377" s="13">
        <f>INDEX(Products_Catalog!$D$2:$D$151, MATCH(C377, Products_Catalog!$A$2:$A$151, 0))</f>
        <v/>
      </c>
      <c r="Q377" s="13">
        <f>I377-J377</f>
        <v/>
      </c>
      <c r="R377" s="15">
        <f>IF(K377&gt;20, "BREACH", "OK")</f>
        <v/>
      </c>
    </row>
    <row r="378">
      <c r="A378" t="inlineStr">
        <is>
          <t>ORD01380</t>
        </is>
      </c>
      <c r="B378" t="inlineStr">
        <is>
          <t>CUST0033</t>
        </is>
      </c>
      <c r="C378" t="inlineStr">
        <is>
          <t>PROD031</t>
        </is>
      </c>
      <c r="D378" t="inlineStr">
        <is>
          <t>STORE049</t>
        </is>
      </c>
      <c r="E378" t="inlineStr">
        <is>
          <t>DP049</t>
        </is>
      </c>
      <c r="F378" t="inlineStr">
        <is>
          <t>2025-05-05 11:37:00</t>
        </is>
      </c>
      <c r="G378" t="inlineStr">
        <is>
          <t>2025-05-05 12:02:00</t>
        </is>
      </c>
      <c r="H378" s="14" t="n">
        <v>3</v>
      </c>
      <c r="I378" s="13" t="n">
        <v>895.23</v>
      </c>
      <c r="J378" s="13" t="n">
        <v>6.78</v>
      </c>
      <c r="K378" s="16" t="n">
        <v>25</v>
      </c>
      <c r="L378" t="inlineStr">
        <is>
          <t>Returned</t>
        </is>
      </c>
      <c r="M378" t="inlineStr">
        <is>
          <t>PAY05</t>
        </is>
      </c>
      <c r="N378" t="inlineStr">
        <is>
          <t>Morning</t>
        </is>
      </c>
      <c r="O378">
        <f>INDEX(Products_Catalog!$B$2:$B$151, MATCH(C378, Products_Catalog!$A$2:$A$151, 0))</f>
        <v/>
      </c>
      <c r="P378" s="13">
        <f>INDEX(Products_Catalog!$D$2:$D$151, MATCH(C378, Products_Catalog!$A$2:$A$151, 0))</f>
        <v/>
      </c>
      <c r="Q378" s="13">
        <f>I378-J378</f>
        <v/>
      </c>
      <c r="R378" s="15">
        <f>IF(K378&gt;20, "BREACH", "OK")</f>
        <v/>
      </c>
    </row>
    <row r="379">
      <c r="A379" t="inlineStr">
        <is>
          <t>ORD01381</t>
        </is>
      </c>
      <c r="B379" t="inlineStr">
        <is>
          <t>CUST0018</t>
        </is>
      </c>
      <c r="C379" t="inlineStr">
        <is>
          <t>PROD069</t>
        </is>
      </c>
      <c r="D379" t="inlineStr">
        <is>
          <t>STORE019</t>
        </is>
      </c>
      <c r="E379" t="inlineStr">
        <is>
          <t>DP032</t>
        </is>
      </c>
      <c r="F379" t="inlineStr">
        <is>
          <t>2024-02-02 11:02:00</t>
        </is>
      </c>
      <c r="G379" t="inlineStr">
        <is>
          <t>2024-02-02 11:28:00</t>
        </is>
      </c>
      <c r="H379" s="14" t="n">
        <v>6</v>
      </c>
      <c r="I379" s="13" t="n">
        <v>1112.94</v>
      </c>
      <c r="J379" s="13" t="n">
        <v>306.77</v>
      </c>
      <c r="K379" s="16" t="n">
        <v>26</v>
      </c>
      <c r="L379" t="inlineStr">
        <is>
          <t>Cancelled</t>
        </is>
      </c>
      <c r="M379" t="inlineStr">
        <is>
          <t>PAY05</t>
        </is>
      </c>
      <c r="N379" t="inlineStr">
        <is>
          <t>Morning</t>
        </is>
      </c>
      <c r="O379">
        <f>INDEX(Products_Catalog!$B$2:$B$151, MATCH(C379, Products_Catalog!$A$2:$A$151, 0))</f>
        <v/>
      </c>
      <c r="P379" s="13">
        <f>INDEX(Products_Catalog!$D$2:$D$151, MATCH(C379, Products_Catalog!$A$2:$A$151, 0))</f>
        <v/>
      </c>
      <c r="Q379" s="13">
        <f>I379-J379</f>
        <v/>
      </c>
      <c r="R379" s="15">
        <f>IF(K379&gt;20, "BREACH", "OK")</f>
        <v/>
      </c>
    </row>
    <row r="380">
      <c r="A380" t="inlineStr">
        <is>
          <t>ORD01382</t>
        </is>
      </c>
      <c r="B380" t="inlineStr">
        <is>
          <t>CUST0046</t>
        </is>
      </c>
      <c r="C380" t="inlineStr">
        <is>
          <t>PROD095</t>
        </is>
      </c>
      <c r="D380" t="inlineStr">
        <is>
          <t>STORE035</t>
        </is>
      </c>
      <c r="E380" t="inlineStr">
        <is>
          <t>DP005</t>
        </is>
      </c>
      <c r="F380" t="inlineStr">
        <is>
          <t>2024-05-24 10:13:00</t>
        </is>
      </c>
      <c r="G380" t="inlineStr">
        <is>
          <t>2024-05-24 10:40:00</t>
        </is>
      </c>
      <c r="H380" s="14" t="n">
        <v>6</v>
      </c>
      <c r="I380" s="13" t="n">
        <v>821.52</v>
      </c>
      <c r="J380" s="13" t="n">
        <v>47.46</v>
      </c>
      <c r="K380" s="16" t="n">
        <v>27</v>
      </c>
      <c r="L380" t="inlineStr">
        <is>
          <t>Returned</t>
        </is>
      </c>
      <c r="M380" t="inlineStr">
        <is>
          <t>PAY03</t>
        </is>
      </c>
      <c r="N380" t="inlineStr">
        <is>
          <t>Morning</t>
        </is>
      </c>
      <c r="O380">
        <f>INDEX(Products_Catalog!$B$2:$B$151, MATCH(C380, Products_Catalog!$A$2:$A$151, 0))</f>
        <v/>
      </c>
      <c r="P380" s="13">
        <f>INDEX(Products_Catalog!$D$2:$D$151, MATCH(C380, Products_Catalog!$A$2:$A$151, 0))</f>
        <v/>
      </c>
      <c r="Q380" s="13">
        <f>I380-J380</f>
        <v/>
      </c>
      <c r="R380" s="15">
        <f>IF(K380&gt;20, "BREACH", "OK")</f>
        <v/>
      </c>
    </row>
    <row r="381">
      <c r="A381" t="inlineStr">
        <is>
          <t>ORD01383</t>
        </is>
      </c>
      <c r="B381" t="inlineStr">
        <is>
          <t>CUST0016</t>
        </is>
      </c>
      <c r="C381" t="inlineStr">
        <is>
          <t>PROD043</t>
        </is>
      </c>
      <c r="D381" t="inlineStr">
        <is>
          <t>STORE048</t>
        </is>
      </c>
      <c r="E381" t="inlineStr">
        <is>
          <t>DP014</t>
        </is>
      </c>
      <c r="F381" t="inlineStr">
        <is>
          <t>2024-04-15 14:25:00</t>
        </is>
      </c>
      <c r="G381" t="inlineStr">
        <is>
          <t>2024-04-15 14:53:00</t>
        </is>
      </c>
      <c r="H381" s="14" t="n">
        <v>1</v>
      </c>
      <c r="I381" s="13" t="n">
        <v>113.12</v>
      </c>
      <c r="J381" s="13" t="n">
        <v>14.75</v>
      </c>
      <c r="K381" s="16" t="n">
        <v>28</v>
      </c>
      <c r="L381" t="inlineStr">
        <is>
          <t>Pending</t>
        </is>
      </c>
      <c r="M381" t="inlineStr">
        <is>
          <t>PAY03</t>
        </is>
      </c>
      <c r="N381" t="inlineStr">
        <is>
          <t>Afternoon</t>
        </is>
      </c>
      <c r="O381">
        <f>INDEX(Products_Catalog!$B$2:$B$151, MATCH(C381, Products_Catalog!$A$2:$A$151, 0))</f>
        <v/>
      </c>
      <c r="P381" s="13">
        <f>INDEX(Products_Catalog!$D$2:$D$151, MATCH(C381, Products_Catalog!$A$2:$A$151, 0))</f>
        <v/>
      </c>
      <c r="Q381" s="13">
        <f>I381-J381</f>
        <v/>
      </c>
      <c r="R381" s="15">
        <f>IF(K381&gt;20, "BREACH", "OK")</f>
        <v/>
      </c>
    </row>
    <row r="382">
      <c r="A382" t="inlineStr">
        <is>
          <t>ORD01384</t>
        </is>
      </c>
      <c r="B382" t="inlineStr">
        <is>
          <t>CUST0031</t>
        </is>
      </c>
      <c r="C382" t="inlineStr">
        <is>
          <t>PROD026</t>
        </is>
      </c>
      <c r="D382" t="inlineStr">
        <is>
          <t>STORE044</t>
        </is>
      </c>
      <c r="E382" t="inlineStr">
        <is>
          <t>DP046</t>
        </is>
      </c>
      <c r="F382" t="inlineStr">
        <is>
          <t>2024-04-04 12:30:00</t>
        </is>
      </c>
      <c r="G382" t="inlineStr">
        <is>
          <t>2024-04-04 12:59:00</t>
        </is>
      </c>
      <c r="H382" s="14" t="n">
        <v>4</v>
      </c>
      <c r="I382" s="13" t="n">
        <v>589.6</v>
      </c>
      <c r="J382" s="13" t="n">
        <v>155.93</v>
      </c>
      <c r="K382" s="16" t="n">
        <v>29</v>
      </c>
      <c r="L382" t="inlineStr">
        <is>
          <t>Pending</t>
        </is>
      </c>
      <c r="M382" t="inlineStr">
        <is>
          <t>PAY04</t>
        </is>
      </c>
      <c r="N382" t="inlineStr">
        <is>
          <t>Afternoon</t>
        </is>
      </c>
      <c r="O382">
        <f>INDEX(Products_Catalog!$B$2:$B$151, MATCH(C382, Products_Catalog!$A$2:$A$151, 0))</f>
        <v/>
      </c>
      <c r="P382" s="13">
        <f>INDEX(Products_Catalog!$D$2:$D$151, MATCH(C382, Products_Catalog!$A$2:$A$151, 0))</f>
        <v/>
      </c>
      <c r="Q382" s="13">
        <f>I382-J382</f>
        <v/>
      </c>
      <c r="R382" s="15">
        <f>IF(K382&gt;20, "BREACH", "OK")</f>
        <v/>
      </c>
    </row>
    <row r="383">
      <c r="A383" t="inlineStr">
        <is>
          <t>ORD01385</t>
        </is>
      </c>
      <c r="B383" t="inlineStr">
        <is>
          <t>CUST0044</t>
        </is>
      </c>
      <c r="C383" t="inlineStr">
        <is>
          <t>PROD063</t>
        </is>
      </c>
      <c r="D383" t="inlineStr">
        <is>
          <t>STORE045</t>
        </is>
      </c>
      <c r="E383" t="inlineStr">
        <is>
          <t>DP009</t>
        </is>
      </c>
      <c r="F383" t="inlineStr">
        <is>
          <t>2024-02-18 07:37:00</t>
        </is>
      </c>
      <c r="G383" t="inlineStr">
        <is>
          <t>2024-02-18 08:07:00</t>
        </is>
      </c>
      <c r="H383" s="14" t="n">
        <v>8</v>
      </c>
      <c r="I383" s="13" t="n">
        <v>3261.28</v>
      </c>
      <c r="J383" s="13" t="n">
        <v>0.83</v>
      </c>
      <c r="K383" s="16" t="n">
        <v>30</v>
      </c>
      <c r="L383" t="inlineStr">
        <is>
          <t>Cancelled</t>
        </is>
      </c>
      <c r="M383" t="inlineStr">
        <is>
          <t>PAY02</t>
        </is>
      </c>
      <c r="N383" t="inlineStr">
        <is>
          <t>Morning</t>
        </is>
      </c>
      <c r="O383">
        <f>INDEX(Products_Catalog!$B$2:$B$151, MATCH(C383, Products_Catalog!$A$2:$A$151, 0))</f>
        <v/>
      </c>
      <c r="P383" s="13">
        <f>INDEX(Products_Catalog!$D$2:$D$151, MATCH(C383, Products_Catalog!$A$2:$A$151, 0))</f>
        <v/>
      </c>
      <c r="Q383" s="13">
        <f>I383-J383</f>
        <v/>
      </c>
      <c r="R383" s="15">
        <f>IF(K383&gt;20, "BREACH", "OK")</f>
        <v/>
      </c>
    </row>
    <row r="384">
      <c r="A384" t="inlineStr">
        <is>
          <t>ORD01386</t>
        </is>
      </c>
      <c r="B384" t="inlineStr">
        <is>
          <t>CUST0042</t>
        </is>
      </c>
      <c r="C384" t="inlineStr">
        <is>
          <t>PROD023</t>
        </is>
      </c>
      <c r="D384" t="inlineStr">
        <is>
          <t>STORE024</t>
        </is>
      </c>
      <c r="E384" t="inlineStr">
        <is>
          <t>DP006</t>
        </is>
      </c>
      <c r="F384" t="inlineStr">
        <is>
          <t>2024-12-07 19:53:00</t>
        </is>
      </c>
      <c r="G384" t="inlineStr">
        <is>
          <t>2024-12-07 20:12:00</t>
        </is>
      </c>
      <c r="H384" s="14" t="n">
        <v>3</v>
      </c>
      <c r="I384" s="13" t="n">
        <v>605.4</v>
      </c>
      <c r="J384" s="13" t="n">
        <v>150.3</v>
      </c>
      <c r="K384" s="16" t="n">
        <v>19</v>
      </c>
      <c r="L384" t="inlineStr">
        <is>
          <t>Delivered</t>
        </is>
      </c>
      <c r="M384" t="inlineStr">
        <is>
          <t>PAY03</t>
        </is>
      </c>
      <c r="N384" t="inlineStr">
        <is>
          <t>Evening</t>
        </is>
      </c>
      <c r="O384">
        <f>INDEX(Products_Catalog!$B$2:$B$151, MATCH(C384, Products_Catalog!$A$2:$A$151, 0))</f>
        <v/>
      </c>
      <c r="P384" s="13">
        <f>INDEX(Products_Catalog!$D$2:$D$151, MATCH(C384, Products_Catalog!$A$2:$A$151, 0))</f>
        <v/>
      </c>
      <c r="Q384" s="13">
        <f>I384-J384</f>
        <v/>
      </c>
      <c r="R384" s="15">
        <f>IF(K384&gt;20, "BREACH", "OK")</f>
        <v/>
      </c>
    </row>
    <row r="385">
      <c r="A385" t="inlineStr">
        <is>
          <t>ORD01387</t>
        </is>
      </c>
      <c r="B385" t="inlineStr">
        <is>
          <t>CUST0003</t>
        </is>
      </c>
      <c r="C385" t="inlineStr">
        <is>
          <t>PROD047</t>
        </is>
      </c>
      <c r="D385" t="inlineStr">
        <is>
          <t>STORE048</t>
        </is>
      </c>
      <c r="E385" t="inlineStr">
        <is>
          <t>DP045</t>
        </is>
      </c>
      <c r="F385" t="inlineStr">
        <is>
          <t>2024-02-13 11:17:00</t>
        </is>
      </c>
      <c r="G385" t="inlineStr">
        <is>
          <t>2024-02-13 11:35:00</t>
        </is>
      </c>
      <c r="H385" s="14" t="n">
        <v>2</v>
      </c>
      <c r="I385" s="13" t="n">
        <v>450.28</v>
      </c>
      <c r="J385" s="13" t="n">
        <v>99.61</v>
      </c>
      <c r="K385" s="16" t="n">
        <v>18</v>
      </c>
      <c r="L385" t="inlineStr">
        <is>
          <t>Pending</t>
        </is>
      </c>
      <c r="M385" t="inlineStr">
        <is>
          <t>PAY04</t>
        </is>
      </c>
      <c r="N385" t="inlineStr">
        <is>
          <t>Morning</t>
        </is>
      </c>
      <c r="O385">
        <f>INDEX(Products_Catalog!$B$2:$B$151, MATCH(C385, Products_Catalog!$A$2:$A$151, 0))</f>
        <v/>
      </c>
      <c r="P385" s="13">
        <f>INDEX(Products_Catalog!$D$2:$D$151, MATCH(C385, Products_Catalog!$A$2:$A$151, 0))</f>
        <v/>
      </c>
      <c r="Q385" s="13">
        <f>I385-J385</f>
        <v/>
      </c>
      <c r="R385" s="15">
        <f>IF(K385&gt;20, "BREACH", "OK")</f>
        <v/>
      </c>
    </row>
    <row r="386">
      <c r="A386" t="inlineStr">
        <is>
          <t>ORD01388</t>
        </is>
      </c>
      <c r="B386" t="inlineStr">
        <is>
          <t>CUST0032</t>
        </is>
      </c>
      <c r="C386" t="inlineStr">
        <is>
          <t>PROD086</t>
        </is>
      </c>
      <c r="D386" t="inlineStr">
        <is>
          <t>STORE013</t>
        </is>
      </c>
      <c r="E386" t="inlineStr">
        <is>
          <t>DP019</t>
        </is>
      </c>
      <c r="F386" t="inlineStr">
        <is>
          <t>2025-04-03 17:19:00</t>
        </is>
      </c>
      <c r="G386" t="inlineStr">
        <is>
          <t>2025-04-03 17:36:00</t>
        </is>
      </c>
      <c r="H386" s="14" t="n">
        <v>8</v>
      </c>
      <c r="I386" s="13" t="n">
        <v>3167.6</v>
      </c>
      <c r="J386" s="13" t="n">
        <v>388.53</v>
      </c>
      <c r="K386" s="16" t="n">
        <v>17</v>
      </c>
      <c r="L386" t="inlineStr">
        <is>
          <t>Pending</t>
        </is>
      </c>
      <c r="M386" t="inlineStr">
        <is>
          <t>PAY05</t>
        </is>
      </c>
      <c r="N386" t="inlineStr">
        <is>
          <t>Evening</t>
        </is>
      </c>
      <c r="O386">
        <f>INDEX(Products_Catalog!$B$2:$B$151, MATCH(C386, Products_Catalog!$A$2:$A$151, 0))</f>
        <v/>
      </c>
      <c r="P386" s="13">
        <f>INDEX(Products_Catalog!$D$2:$D$151, MATCH(C386, Products_Catalog!$A$2:$A$151, 0))</f>
        <v/>
      </c>
      <c r="Q386" s="13">
        <f>I386-J386</f>
        <v/>
      </c>
      <c r="R386" s="15">
        <f>IF(K386&gt;20, "BREACH", "OK")</f>
        <v/>
      </c>
    </row>
    <row r="387">
      <c r="A387" t="inlineStr">
        <is>
          <t>ORD01390</t>
        </is>
      </c>
      <c r="B387" t="inlineStr">
        <is>
          <t>CUST0023</t>
        </is>
      </c>
      <c r="C387" t="inlineStr">
        <is>
          <t>PROD146</t>
        </is>
      </c>
      <c r="D387" t="inlineStr">
        <is>
          <t>STORE007</t>
        </is>
      </c>
      <c r="E387" t="inlineStr">
        <is>
          <t>DP014</t>
        </is>
      </c>
      <c r="F387" t="inlineStr">
        <is>
          <t>2024-07-19 19:08:00</t>
        </is>
      </c>
      <c r="G387" t="inlineStr">
        <is>
          <t>2024-07-19 19:23:00</t>
        </is>
      </c>
      <c r="H387" s="14" t="n">
        <v>10</v>
      </c>
      <c r="I387" s="13" t="n">
        <v>4406.7</v>
      </c>
      <c r="J387" s="13" t="n">
        <v>613.34</v>
      </c>
      <c r="K387" s="16" t="n">
        <v>15</v>
      </c>
      <c r="L387" t="inlineStr">
        <is>
          <t>Returned</t>
        </is>
      </c>
      <c r="M387" t="inlineStr">
        <is>
          <t>PAY01</t>
        </is>
      </c>
      <c r="N387" t="inlineStr">
        <is>
          <t>Evening</t>
        </is>
      </c>
      <c r="O387">
        <f>INDEX(Products_Catalog!$B$2:$B$151, MATCH(C387, Products_Catalog!$A$2:$A$151, 0))</f>
        <v/>
      </c>
      <c r="P387" s="13">
        <f>INDEX(Products_Catalog!$D$2:$D$151, MATCH(C387, Products_Catalog!$A$2:$A$151, 0))</f>
        <v/>
      </c>
      <c r="Q387" s="13">
        <f>I387-J387</f>
        <v/>
      </c>
      <c r="R387" s="15">
        <f>IF(K387&gt;20, "BREACH", "OK")</f>
        <v/>
      </c>
    </row>
    <row r="388">
      <c r="A388" t="inlineStr">
        <is>
          <t>ORD01391</t>
        </is>
      </c>
      <c r="B388" t="inlineStr">
        <is>
          <t>CUST0041</t>
        </is>
      </c>
      <c r="C388" t="inlineStr">
        <is>
          <t>PROD061</t>
        </is>
      </c>
      <c r="D388" t="inlineStr">
        <is>
          <t>STORE049</t>
        </is>
      </c>
      <c r="E388" t="inlineStr">
        <is>
          <t>DP023</t>
        </is>
      </c>
      <c r="F388" t="inlineStr">
        <is>
          <t>2025-05-28 19:14:00</t>
        </is>
      </c>
      <c r="G388" t="inlineStr">
        <is>
          <t>2025-05-28 19:28:00</t>
        </is>
      </c>
      <c r="H388" s="14" t="n">
        <v>8</v>
      </c>
      <c r="I388" s="13" t="n">
        <v>1732.8</v>
      </c>
      <c r="J388" s="13" t="n">
        <v>102.66</v>
      </c>
      <c r="K388" s="16" t="n">
        <v>14</v>
      </c>
      <c r="L388" t="inlineStr">
        <is>
          <t>Returned</t>
        </is>
      </c>
      <c r="M388" t="inlineStr">
        <is>
          <t>PAY05</t>
        </is>
      </c>
      <c r="N388" t="inlineStr">
        <is>
          <t>Evening</t>
        </is>
      </c>
      <c r="O388">
        <f>INDEX(Products_Catalog!$B$2:$B$151, MATCH(C388, Products_Catalog!$A$2:$A$151, 0))</f>
        <v/>
      </c>
      <c r="P388" s="13">
        <f>INDEX(Products_Catalog!$D$2:$D$151, MATCH(C388, Products_Catalog!$A$2:$A$151, 0))</f>
        <v/>
      </c>
      <c r="Q388" s="13">
        <f>I388-J388</f>
        <v/>
      </c>
      <c r="R388" s="15">
        <f>IF(K388&gt;20, "BREACH", "OK")</f>
        <v/>
      </c>
    </row>
    <row r="389">
      <c r="A389" t="inlineStr">
        <is>
          <t>ORD01392</t>
        </is>
      </c>
      <c r="B389" t="inlineStr">
        <is>
          <t>CUST0010</t>
        </is>
      </c>
      <c r="C389" t="inlineStr">
        <is>
          <t>PROD100</t>
        </is>
      </c>
      <c r="D389" t="inlineStr">
        <is>
          <t>STORE042</t>
        </is>
      </c>
      <c r="E389" t="inlineStr">
        <is>
          <t>DP015</t>
        </is>
      </c>
      <c r="F389" t="inlineStr">
        <is>
          <t>2024-07-10 11:33:00</t>
        </is>
      </c>
      <c r="G389" t="inlineStr">
        <is>
          <t>2024-07-10 11:46:00</t>
        </is>
      </c>
      <c r="H389" s="14" t="n">
        <v>5</v>
      </c>
      <c r="I389" s="13" t="n">
        <v>269.95</v>
      </c>
      <c r="J389" s="13" t="n">
        <v>26.68</v>
      </c>
      <c r="K389" s="16" t="n">
        <v>13</v>
      </c>
      <c r="L389" t="inlineStr">
        <is>
          <t>Pending</t>
        </is>
      </c>
      <c r="M389" t="inlineStr">
        <is>
          <t>PAY01</t>
        </is>
      </c>
      <c r="N389" t="inlineStr">
        <is>
          <t>Morning</t>
        </is>
      </c>
      <c r="O389">
        <f>INDEX(Products_Catalog!$B$2:$B$151, MATCH(C389, Products_Catalog!$A$2:$A$151, 0))</f>
        <v/>
      </c>
      <c r="P389" s="13">
        <f>INDEX(Products_Catalog!$D$2:$D$151, MATCH(C389, Products_Catalog!$A$2:$A$151, 0))</f>
        <v/>
      </c>
      <c r="Q389" s="13">
        <f>I389-J389</f>
        <v/>
      </c>
      <c r="R389" s="15">
        <f>IF(K389&gt;20, "BREACH", "OK")</f>
        <v/>
      </c>
    </row>
    <row r="390">
      <c r="A390" t="inlineStr">
        <is>
          <t>ORD01394</t>
        </is>
      </c>
      <c r="B390" t="inlineStr">
        <is>
          <t>CUST0001</t>
        </is>
      </c>
      <c r="C390" t="inlineStr">
        <is>
          <t>PROD118</t>
        </is>
      </c>
      <c r="D390" t="inlineStr">
        <is>
          <t>STORE038</t>
        </is>
      </c>
      <c r="E390" t="inlineStr">
        <is>
          <t>DP005</t>
        </is>
      </c>
      <c r="F390" t="inlineStr">
        <is>
          <t>2024-04-28 09:44:00</t>
        </is>
      </c>
      <c r="G390" t="inlineStr">
        <is>
          <t>2024-04-28 09:55:00</t>
        </is>
      </c>
      <c r="H390" s="14" t="n">
        <v>4</v>
      </c>
      <c r="I390" s="13" t="n">
        <v>1002.48</v>
      </c>
      <c r="J390" s="13" t="n">
        <v>102.04</v>
      </c>
      <c r="K390" s="16" t="n">
        <v>11</v>
      </c>
      <c r="L390" t="inlineStr">
        <is>
          <t>Returned</t>
        </is>
      </c>
      <c r="M390" t="inlineStr">
        <is>
          <t>PAY04</t>
        </is>
      </c>
      <c r="N390" t="inlineStr">
        <is>
          <t>Morning</t>
        </is>
      </c>
      <c r="O390">
        <f>INDEX(Products_Catalog!$B$2:$B$151, MATCH(C390, Products_Catalog!$A$2:$A$151, 0))</f>
        <v/>
      </c>
      <c r="P390" s="13">
        <f>INDEX(Products_Catalog!$D$2:$D$151, MATCH(C390, Products_Catalog!$A$2:$A$151, 0))</f>
        <v/>
      </c>
      <c r="Q390" s="13">
        <f>I390-J390</f>
        <v/>
      </c>
      <c r="R390" s="15">
        <f>IF(K390&gt;20, "BREACH", "OK")</f>
        <v/>
      </c>
    </row>
    <row r="391">
      <c r="A391" t="inlineStr">
        <is>
          <t>ORD01395</t>
        </is>
      </c>
      <c r="B391" t="inlineStr">
        <is>
          <t>CUST0036</t>
        </is>
      </c>
      <c r="C391" t="inlineStr">
        <is>
          <t>PROD001</t>
        </is>
      </c>
      <c r="D391" t="inlineStr">
        <is>
          <t>STORE026</t>
        </is>
      </c>
      <c r="E391" t="inlineStr">
        <is>
          <t>DP046</t>
        </is>
      </c>
      <c r="F391" t="inlineStr">
        <is>
          <t>2024-05-26 14:59:00</t>
        </is>
      </c>
      <c r="G391" t="inlineStr">
        <is>
          <t>2024-05-26 15:09:00</t>
        </is>
      </c>
      <c r="H391" s="14" t="n">
        <v>9</v>
      </c>
      <c r="I391" s="13" t="n">
        <v>3223.44</v>
      </c>
      <c r="J391" s="13" t="n">
        <v>831.79</v>
      </c>
      <c r="K391" s="16" t="n">
        <v>10</v>
      </c>
      <c r="L391" t="inlineStr">
        <is>
          <t>Returned</t>
        </is>
      </c>
      <c r="M391" t="inlineStr">
        <is>
          <t>PAY04</t>
        </is>
      </c>
      <c r="N391" t="inlineStr">
        <is>
          <t>Afternoon</t>
        </is>
      </c>
      <c r="O391">
        <f>INDEX(Products_Catalog!$B$2:$B$151, MATCH(C391, Products_Catalog!$A$2:$A$151, 0))</f>
        <v/>
      </c>
      <c r="P391" s="13">
        <f>INDEX(Products_Catalog!$D$2:$D$151, MATCH(C391, Products_Catalog!$A$2:$A$151, 0))</f>
        <v/>
      </c>
      <c r="Q391" s="13">
        <f>I391-J391</f>
        <v/>
      </c>
      <c r="R391" s="15">
        <f>IF(K391&gt;20, "BREACH", "OK")</f>
        <v/>
      </c>
    </row>
    <row r="392">
      <c r="A392" t="inlineStr">
        <is>
          <t>ORD01396</t>
        </is>
      </c>
      <c r="B392" t="inlineStr">
        <is>
          <t>CUST0012</t>
        </is>
      </c>
      <c r="C392" t="inlineStr">
        <is>
          <t>PROD013</t>
        </is>
      </c>
      <c r="D392" t="inlineStr">
        <is>
          <t>STORE019</t>
        </is>
      </c>
      <c r="E392" t="inlineStr">
        <is>
          <t>DP047</t>
        </is>
      </c>
      <c r="F392" t="inlineStr">
        <is>
          <t>2024-04-01 08:29:00</t>
        </is>
      </c>
      <c r="G392" t="inlineStr">
        <is>
          <t>2024-04-01 08:59:00</t>
        </is>
      </c>
      <c r="H392" s="14" t="n">
        <v>2</v>
      </c>
      <c r="I392" s="13" t="n">
        <v>489.34</v>
      </c>
      <c r="J392" s="13" t="n">
        <v>40.07</v>
      </c>
      <c r="K392" s="16" t="n">
        <v>30</v>
      </c>
      <c r="L392" t="inlineStr">
        <is>
          <t>Cancelled</t>
        </is>
      </c>
      <c r="M392" t="inlineStr">
        <is>
          <t>PAY01</t>
        </is>
      </c>
      <c r="N392" t="inlineStr">
        <is>
          <t>Morning</t>
        </is>
      </c>
      <c r="O392">
        <f>INDEX(Products_Catalog!$B$2:$B$151, MATCH(C392, Products_Catalog!$A$2:$A$151, 0))</f>
        <v/>
      </c>
      <c r="P392" s="13">
        <f>INDEX(Products_Catalog!$D$2:$D$151, MATCH(C392, Products_Catalog!$A$2:$A$151, 0))</f>
        <v/>
      </c>
      <c r="Q392" s="13">
        <f>I392-J392</f>
        <v/>
      </c>
      <c r="R392" s="15">
        <f>IF(K392&gt;20, "BREACH", "OK")</f>
        <v/>
      </c>
    </row>
    <row r="393">
      <c r="A393" t="inlineStr">
        <is>
          <t>ORD01398</t>
        </is>
      </c>
      <c r="B393" t="inlineStr">
        <is>
          <t>CUST0043</t>
        </is>
      </c>
      <c r="C393" t="inlineStr">
        <is>
          <t>PROD035</t>
        </is>
      </c>
      <c r="D393" t="inlineStr">
        <is>
          <t>STORE014</t>
        </is>
      </c>
      <c r="E393" t="inlineStr">
        <is>
          <t>DP004</t>
        </is>
      </c>
      <c r="F393" t="inlineStr">
        <is>
          <t>2024-04-09 19:50:00</t>
        </is>
      </c>
      <c r="G393" t="inlineStr">
        <is>
          <t>2024-04-09 20:18:00</t>
        </is>
      </c>
      <c r="H393" s="14" t="n">
        <v>1</v>
      </c>
      <c r="I393" s="13" t="n">
        <v>285.8</v>
      </c>
      <c r="J393" s="13" t="n">
        <v>28.76</v>
      </c>
      <c r="K393" s="16" t="n">
        <v>28</v>
      </c>
      <c r="L393" t="inlineStr">
        <is>
          <t>Returned</t>
        </is>
      </c>
      <c r="M393" t="inlineStr">
        <is>
          <t>PAY01</t>
        </is>
      </c>
      <c r="N393" t="inlineStr">
        <is>
          <t>Evening</t>
        </is>
      </c>
      <c r="O393">
        <f>INDEX(Products_Catalog!$B$2:$B$151, MATCH(C393, Products_Catalog!$A$2:$A$151, 0))</f>
        <v/>
      </c>
      <c r="P393" s="13">
        <f>INDEX(Products_Catalog!$D$2:$D$151, MATCH(C393, Products_Catalog!$A$2:$A$151, 0))</f>
        <v/>
      </c>
      <c r="Q393" s="13">
        <f>I393-J393</f>
        <v/>
      </c>
      <c r="R393" s="15">
        <f>IF(K393&gt;20, "BREACH", "OK")</f>
        <v/>
      </c>
    </row>
    <row r="394">
      <c r="A394" t="inlineStr">
        <is>
          <t>ORD01400</t>
        </is>
      </c>
      <c r="B394" t="inlineStr">
        <is>
          <t>CUST0038</t>
        </is>
      </c>
      <c r="C394" t="inlineStr">
        <is>
          <t>PROD058</t>
        </is>
      </c>
      <c r="D394" t="inlineStr">
        <is>
          <t>STORE024</t>
        </is>
      </c>
      <c r="E394" t="inlineStr">
        <is>
          <t>DP015</t>
        </is>
      </c>
      <c r="F394" t="inlineStr">
        <is>
          <t>2025-06-02 18:08:00</t>
        </is>
      </c>
      <c r="G394" t="inlineStr">
        <is>
          <t>2025-06-02 18:34:00</t>
        </is>
      </c>
      <c r="H394" s="14" t="n">
        <v>5</v>
      </c>
      <c r="I394" s="13" t="n">
        <v>1664.15</v>
      </c>
      <c r="J394" s="13" t="n">
        <v>385.08</v>
      </c>
      <c r="K394" s="16" t="n">
        <v>26</v>
      </c>
      <c r="L394" t="inlineStr">
        <is>
          <t>Cancelled</t>
        </is>
      </c>
      <c r="M394" t="inlineStr">
        <is>
          <t>PAY05</t>
        </is>
      </c>
      <c r="N394" t="inlineStr">
        <is>
          <t>Evening</t>
        </is>
      </c>
      <c r="O394">
        <f>INDEX(Products_Catalog!$B$2:$B$151, MATCH(C394, Products_Catalog!$A$2:$A$151, 0))</f>
        <v/>
      </c>
      <c r="P394" s="13">
        <f>INDEX(Products_Catalog!$D$2:$D$151, MATCH(C394, Products_Catalog!$A$2:$A$151, 0))</f>
        <v/>
      </c>
      <c r="Q394" s="13">
        <f>I394-J394</f>
        <v/>
      </c>
      <c r="R394" s="15">
        <f>IF(K394&gt;20, "BREACH", "OK")</f>
        <v/>
      </c>
    </row>
    <row r="395">
      <c r="A395" t="inlineStr">
        <is>
          <t>ORD01401</t>
        </is>
      </c>
      <c r="B395" t="inlineStr">
        <is>
          <t>CUST0009</t>
        </is>
      </c>
      <c r="C395" t="inlineStr">
        <is>
          <t>PROD052</t>
        </is>
      </c>
      <c r="D395" t="inlineStr">
        <is>
          <t>STORE024</t>
        </is>
      </c>
      <c r="E395" t="inlineStr">
        <is>
          <t>DP022</t>
        </is>
      </c>
      <c r="F395" t="inlineStr">
        <is>
          <t>2024-02-13 18:29:00</t>
        </is>
      </c>
      <c r="G395" t="inlineStr">
        <is>
          <t>2024-02-13 18:54:00</t>
        </is>
      </c>
      <c r="H395" s="14" t="n">
        <v>3</v>
      </c>
      <c r="I395" s="13" t="n">
        <v>476.55</v>
      </c>
      <c r="J395" s="13" t="n">
        <v>7.85</v>
      </c>
      <c r="K395" s="16" t="n">
        <v>25</v>
      </c>
      <c r="L395" t="inlineStr">
        <is>
          <t>Shipped</t>
        </is>
      </c>
      <c r="M395" t="inlineStr">
        <is>
          <t>PAY01</t>
        </is>
      </c>
      <c r="N395" t="inlineStr">
        <is>
          <t>Evening</t>
        </is>
      </c>
      <c r="O395">
        <f>INDEX(Products_Catalog!$B$2:$B$151, MATCH(C395, Products_Catalog!$A$2:$A$151, 0))</f>
        <v/>
      </c>
      <c r="P395" s="13">
        <f>INDEX(Products_Catalog!$D$2:$D$151, MATCH(C395, Products_Catalog!$A$2:$A$151, 0))</f>
        <v/>
      </c>
      <c r="Q395" s="13">
        <f>I395-J395</f>
        <v/>
      </c>
      <c r="R395" s="15">
        <f>IF(K395&gt;20, "BREACH", "OK")</f>
        <v/>
      </c>
    </row>
    <row r="396">
      <c r="A396" t="inlineStr">
        <is>
          <t>ORD01402</t>
        </is>
      </c>
      <c r="B396" t="inlineStr">
        <is>
          <t>CUST0049</t>
        </is>
      </c>
      <c r="C396" t="inlineStr">
        <is>
          <t>PROD032</t>
        </is>
      </c>
      <c r="D396" t="inlineStr">
        <is>
          <t>STORE005</t>
        </is>
      </c>
      <c r="E396" t="inlineStr">
        <is>
          <t>DP049</t>
        </is>
      </c>
      <c r="F396" t="inlineStr">
        <is>
          <t>2024-06-04 16:01:00</t>
        </is>
      </c>
      <c r="G396" t="inlineStr">
        <is>
          <t>2024-06-04 16:27:00</t>
        </is>
      </c>
      <c r="H396" s="14" t="n">
        <v>9</v>
      </c>
      <c r="I396" s="13" t="n">
        <v>3952.17</v>
      </c>
      <c r="J396" s="13" t="n">
        <v>1116.69</v>
      </c>
      <c r="K396" s="16" t="n">
        <v>26</v>
      </c>
      <c r="L396" t="inlineStr">
        <is>
          <t>Pending</t>
        </is>
      </c>
      <c r="M396" t="inlineStr">
        <is>
          <t>PAY01</t>
        </is>
      </c>
      <c r="N396" t="inlineStr">
        <is>
          <t>Afternoon</t>
        </is>
      </c>
      <c r="O396">
        <f>INDEX(Products_Catalog!$B$2:$B$151, MATCH(C396, Products_Catalog!$A$2:$A$151, 0))</f>
        <v/>
      </c>
      <c r="P396" s="13">
        <f>INDEX(Products_Catalog!$D$2:$D$151, MATCH(C396, Products_Catalog!$A$2:$A$151, 0))</f>
        <v/>
      </c>
      <c r="Q396" s="13">
        <f>I396-J396</f>
        <v/>
      </c>
      <c r="R396" s="15">
        <f>IF(K396&gt;20, "BREACH", "OK")</f>
        <v/>
      </c>
    </row>
    <row r="397">
      <c r="A397" t="inlineStr">
        <is>
          <t>ORD01405</t>
        </is>
      </c>
      <c r="B397" t="inlineStr">
        <is>
          <t>CUST0048</t>
        </is>
      </c>
      <c r="C397" t="inlineStr">
        <is>
          <t>PROD082</t>
        </is>
      </c>
      <c r="D397" t="inlineStr">
        <is>
          <t>STORE022</t>
        </is>
      </c>
      <c r="E397" t="inlineStr">
        <is>
          <t>DP015</t>
        </is>
      </c>
      <c r="F397" t="inlineStr">
        <is>
          <t>2024-09-07 17:03:00</t>
        </is>
      </c>
      <c r="G397" t="inlineStr">
        <is>
          <t>2024-09-07 17:32:00</t>
        </is>
      </c>
      <c r="H397" s="14" t="n">
        <v>8</v>
      </c>
      <c r="I397" s="13" t="n">
        <v>3997.92</v>
      </c>
      <c r="J397" s="13" t="n">
        <v>1160.69</v>
      </c>
      <c r="K397" s="16" t="n">
        <v>29</v>
      </c>
      <c r="L397" t="inlineStr">
        <is>
          <t>Returned</t>
        </is>
      </c>
      <c r="M397" t="inlineStr">
        <is>
          <t>PAY03</t>
        </is>
      </c>
      <c r="N397" t="inlineStr">
        <is>
          <t>Evening</t>
        </is>
      </c>
      <c r="O397">
        <f>INDEX(Products_Catalog!$B$2:$B$151, MATCH(C397, Products_Catalog!$A$2:$A$151, 0))</f>
        <v/>
      </c>
      <c r="P397" s="13">
        <f>INDEX(Products_Catalog!$D$2:$D$151, MATCH(C397, Products_Catalog!$A$2:$A$151, 0))</f>
        <v/>
      </c>
      <c r="Q397" s="13">
        <f>I397-J397</f>
        <v/>
      </c>
      <c r="R397" s="15">
        <f>IF(K397&gt;20, "BREACH", "OK")</f>
        <v/>
      </c>
    </row>
    <row r="398">
      <c r="A398" t="inlineStr">
        <is>
          <t>ORD01406</t>
        </is>
      </c>
      <c r="B398" t="inlineStr">
        <is>
          <t>CUST0033</t>
        </is>
      </c>
      <c r="C398" t="inlineStr">
        <is>
          <t>PROD093</t>
        </is>
      </c>
      <c r="D398" t="inlineStr">
        <is>
          <t>STORE026</t>
        </is>
      </c>
      <c r="E398" t="inlineStr">
        <is>
          <t>DP020</t>
        </is>
      </c>
      <c r="F398" t="inlineStr">
        <is>
          <t>2024-04-08 08:45:00</t>
        </is>
      </c>
      <c r="G398" t="inlineStr">
        <is>
          <t>2024-04-08 09:15:00</t>
        </is>
      </c>
      <c r="H398" s="14" t="n">
        <v>1</v>
      </c>
      <c r="I398" s="13" t="n">
        <v>481.45</v>
      </c>
      <c r="J398" s="13" t="n">
        <v>74.41</v>
      </c>
      <c r="K398" s="16" t="n">
        <v>30</v>
      </c>
      <c r="L398" t="inlineStr">
        <is>
          <t>Pending</t>
        </is>
      </c>
      <c r="M398" t="inlineStr">
        <is>
          <t>PAY03</t>
        </is>
      </c>
      <c r="N398" t="inlineStr">
        <is>
          <t>Morning</t>
        </is>
      </c>
      <c r="O398">
        <f>INDEX(Products_Catalog!$B$2:$B$151, MATCH(C398, Products_Catalog!$A$2:$A$151, 0))</f>
        <v/>
      </c>
      <c r="P398" s="13">
        <f>INDEX(Products_Catalog!$D$2:$D$151, MATCH(C398, Products_Catalog!$A$2:$A$151, 0))</f>
        <v/>
      </c>
      <c r="Q398" s="13">
        <f>I398-J398</f>
        <v/>
      </c>
      <c r="R398" s="15">
        <f>IF(K398&gt;20, "BREACH", "OK")</f>
        <v/>
      </c>
    </row>
    <row r="399">
      <c r="A399" t="inlineStr">
        <is>
          <t>ORD01407</t>
        </is>
      </c>
      <c r="B399" t="inlineStr">
        <is>
          <t>CUST0033</t>
        </is>
      </c>
      <c r="C399" t="inlineStr">
        <is>
          <t>PROD028</t>
        </is>
      </c>
      <c r="D399" t="inlineStr">
        <is>
          <t>STORE008</t>
        </is>
      </c>
      <c r="E399" t="inlineStr">
        <is>
          <t>DP039</t>
        </is>
      </c>
      <c r="F399" t="inlineStr">
        <is>
          <t>2025-02-18 08:59:00</t>
        </is>
      </c>
      <c r="G399" t="inlineStr">
        <is>
          <t>2025-02-18 09:16:00</t>
        </is>
      </c>
      <c r="H399" s="14" t="n">
        <v>9</v>
      </c>
      <c r="I399" s="13" t="n">
        <v>662.67</v>
      </c>
      <c r="J399" s="13" t="n">
        <v>107.4</v>
      </c>
      <c r="K399" s="16" t="n">
        <v>17</v>
      </c>
      <c r="L399" t="inlineStr">
        <is>
          <t>Returned</t>
        </is>
      </c>
      <c r="M399" t="inlineStr">
        <is>
          <t>PAY01</t>
        </is>
      </c>
      <c r="N399" t="inlineStr">
        <is>
          <t>Morning</t>
        </is>
      </c>
      <c r="O399">
        <f>INDEX(Products_Catalog!$B$2:$B$151, MATCH(C399, Products_Catalog!$A$2:$A$151, 0))</f>
        <v/>
      </c>
      <c r="P399" s="13">
        <f>INDEX(Products_Catalog!$D$2:$D$151, MATCH(C399, Products_Catalog!$A$2:$A$151, 0))</f>
        <v/>
      </c>
      <c r="Q399" s="13">
        <f>I399-J399</f>
        <v/>
      </c>
      <c r="R399" s="15">
        <f>IF(K399&gt;20, "BREACH", "OK")</f>
        <v/>
      </c>
    </row>
    <row r="400">
      <c r="A400" t="inlineStr">
        <is>
          <t>ORD01409</t>
        </is>
      </c>
      <c r="B400" t="inlineStr">
        <is>
          <t>CUST0023</t>
        </is>
      </c>
      <c r="C400" t="inlineStr">
        <is>
          <t>PROD104</t>
        </is>
      </c>
      <c r="D400" t="inlineStr">
        <is>
          <t>STORE037</t>
        </is>
      </c>
      <c r="E400" t="inlineStr">
        <is>
          <t>DP026</t>
        </is>
      </c>
      <c r="F400" t="inlineStr">
        <is>
          <t>2024-12-13 15:44:00</t>
        </is>
      </c>
      <c r="G400" t="inlineStr">
        <is>
          <t>2024-12-13 15:57:00</t>
        </is>
      </c>
      <c r="H400" s="14" t="n">
        <v>2</v>
      </c>
      <c r="I400" s="13" t="n">
        <v>159.12</v>
      </c>
      <c r="J400" s="13" t="n">
        <v>36.45</v>
      </c>
      <c r="K400" s="16" t="n">
        <v>13</v>
      </c>
      <c r="L400" t="inlineStr">
        <is>
          <t>Cancelled</t>
        </is>
      </c>
      <c r="M400" t="inlineStr">
        <is>
          <t>PAY03</t>
        </is>
      </c>
      <c r="N400" t="inlineStr">
        <is>
          <t>Afternoon</t>
        </is>
      </c>
      <c r="O400">
        <f>INDEX(Products_Catalog!$B$2:$B$151, MATCH(C400, Products_Catalog!$A$2:$A$151, 0))</f>
        <v/>
      </c>
      <c r="P400" s="13">
        <f>INDEX(Products_Catalog!$D$2:$D$151, MATCH(C400, Products_Catalog!$A$2:$A$151, 0))</f>
        <v/>
      </c>
      <c r="Q400" s="13">
        <f>I400-J400</f>
        <v/>
      </c>
      <c r="R400" s="15">
        <f>IF(K400&gt;20, "BREACH", "OK")</f>
        <v/>
      </c>
    </row>
    <row r="401">
      <c r="A401" t="inlineStr">
        <is>
          <t>ORD01410</t>
        </is>
      </c>
      <c r="B401" t="inlineStr">
        <is>
          <t>CUST0021</t>
        </is>
      </c>
      <c r="C401" t="inlineStr">
        <is>
          <t>PROD028</t>
        </is>
      </c>
      <c r="D401" t="inlineStr">
        <is>
          <t>STORE009</t>
        </is>
      </c>
      <c r="E401" t="inlineStr">
        <is>
          <t>DP035</t>
        </is>
      </c>
      <c r="F401" t="inlineStr">
        <is>
          <t>2024-11-17 08:48:00</t>
        </is>
      </c>
      <c r="G401" t="inlineStr">
        <is>
          <t>2024-11-17 09:00:00</t>
        </is>
      </c>
      <c r="H401" s="14" t="n">
        <v>9</v>
      </c>
      <c r="I401" s="13" t="n">
        <v>2872.08</v>
      </c>
      <c r="J401" s="13" t="n">
        <v>324.18</v>
      </c>
      <c r="K401" s="16" t="n">
        <v>12</v>
      </c>
      <c r="L401" t="inlineStr">
        <is>
          <t>Cancelled</t>
        </is>
      </c>
      <c r="M401" t="inlineStr">
        <is>
          <t>PAY03</t>
        </is>
      </c>
      <c r="N401" t="inlineStr">
        <is>
          <t>Morning</t>
        </is>
      </c>
      <c r="O401">
        <f>INDEX(Products_Catalog!$B$2:$B$151, MATCH(C401, Products_Catalog!$A$2:$A$151, 0))</f>
        <v/>
      </c>
      <c r="P401" s="13">
        <f>INDEX(Products_Catalog!$D$2:$D$151, MATCH(C401, Products_Catalog!$A$2:$A$151, 0))</f>
        <v/>
      </c>
      <c r="Q401" s="13">
        <f>I401-J401</f>
        <v/>
      </c>
      <c r="R401" s="15">
        <f>IF(K401&gt;20, "BREACH", "OK")</f>
        <v/>
      </c>
    </row>
    <row r="402">
      <c r="A402" t="inlineStr">
        <is>
          <t>ORD01411</t>
        </is>
      </c>
      <c r="B402" t="inlineStr">
        <is>
          <t>CUST0046</t>
        </is>
      </c>
      <c r="C402" t="inlineStr">
        <is>
          <t>PROD098</t>
        </is>
      </c>
      <c r="D402" t="inlineStr">
        <is>
          <t>STORE010</t>
        </is>
      </c>
      <c r="E402" t="inlineStr">
        <is>
          <t>DP022</t>
        </is>
      </c>
      <c r="F402" t="inlineStr">
        <is>
          <t>2024-10-16 20:35:00</t>
        </is>
      </c>
      <c r="G402" t="inlineStr">
        <is>
          <t>2024-10-16 20:46:00</t>
        </is>
      </c>
      <c r="H402" s="14" t="n">
        <v>4</v>
      </c>
      <c r="I402" s="13" t="n">
        <v>1476</v>
      </c>
      <c r="J402" s="13" t="n">
        <v>278.06</v>
      </c>
      <c r="K402" s="16" t="n">
        <v>11</v>
      </c>
      <c r="L402" t="inlineStr">
        <is>
          <t>Cancelled</t>
        </is>
      </c>
      <c r="M402" t="inlineStr">
        <is>
          <t>PAY04</t>
        </is>
      </c>
      <c r="N402" t="inlineStr">
        <is>
          <t>Evening</t>
        </is>
      </c>
      <c r="O402">
        <f>INDEX(Products_Catalog!$B$2:$B$151, MATCH(C402, Products_Catalog!$A$2:$A$151, 0))</f>
        <v/>
      </c>
      <c r="P402" s="13">
        <f>INDEX(Products_Catalog!$D$2:$D$151, MATCH(C402, Products_Catalog!$A$2:$A$151, 0))</f>
        <v/>
      </c>
      <c r="Q402" s="13">
        <f>I402-J402</f>
        <v/>
      </c>
      <c r="R402" s="15">
        <f>IF(K402&gt;20, "BREACH", "OK")</f>
        <v/>
      </c>
    </row>
    <row r="403">
      <c r="A403" t="inlineStr">
        <is>
          <t>ORD01412</t>
        </is>
      </c>
      <c r="B403" t="inlineStr">
        <is>
          <t>CUST0025</t>
        </is>
      </c>
      <c r="C403" t="inlineStr">
        <is>
          <t>PROD060</t>
        </is>
      </c>
      <c r="D403" t="inlineStr">
        <is>
          <t>STORE027</t>
        </is>
      </c>
      <c r="E403" t="inlineStr">
        <is>
          <t>DP027</t>
        </is>
      </c>
      <c r="F403" t="inlineStr">
        <is>
          <t>2025-03-14 08:39:00</t>
        </is>
      </c>
      <c r="G403" t="inlineStr">
        <is>
          <t>2025-03-14 08:51:00</t>
        </is>
      </c>
      <c r="H403" s="14" t="n">
        <v>7</v>
      </c>
      <c r="I403" s="13" t="n">
        <v>2731.4</v>
      </c>
      <c r="J403" s="13" t="n">
        <v>41.57</v>
      </c>
      <c r="K403" s="16" t="n">
        <v>12</v>
      </c>
      <c r="L403" t="inlineStr">
        <is>
          <t>Delivered</t>
        </is>
      </c>
      <c r="M403" t="inlineStr">
        <is>
          <t>PAY02</t>
        </is>
      </c>
      <c r="N403" t="inlineStr">
        <is>
          <t>Morning</t>
        </is>
      </c>
      <c r="O403">
        <f>INDEX(Products_Catalog!$B$2:$B$151, MATCH(C403, Products_Catalog!$A$2:$A$151, 0))</f>
        <v/>
      </c>
      <c r="P403" s="13">
        <f>INDEX(Products_Catalog!$D$2:$D$151, MATCH(C403, Products_Catalog!$A$2:$A$151, 0))</f>
        <v/>
      </c>
      <c r="Q403" s="13">
        <f>I403-J403</f>
        <v/>
      </c>
      <c r="R403" s="15">
        <f>IF(K403&gt;20, "BREACH", "OK")</f>
        <v/>
      </c>
    </row>
    <row r="404">
      <c r="A404" t="inlineStr">
        <is>
          <t>ORD01413</t>
        </is>
      </c>
      <c r="B404" t="inlineStr">
        <is>
          <t>CUST0008</t>
        </is>
      </c>
      <c r="C404" t="inlineStr">
        <is>
          <t>PROD039</t>
        </is>
      </c>
      <c r="D404" t="inlineStr">
        <is>
          <t>STORE004</t>
        </is>
      </c>
      <c r="E404" t="inlineStr">
        <is>
          <t>DP041</t>
        </is>
      </c>
      <c r="F404" t="inlineStr">
        <is>
          <t>2024-11-07 19:49:00</t>
        </is>
      </c>
      <c r="G404" t="inlineStr">
        <is>
          <t>2024-11-07 20:02:00</t>
        </is>
      </c>
      <c r="H404" s="14" t="n">
        <v>7</v>
      </c>
      <c r="I404" s="13" t="n">
        <v>2594.76</v>
      </c>
      <c r="J404" s="13" t="n">
        <v>348.21</v>
      </c>
      <c r="K404" s="16" t="n">
        <v>13</v>
      </c>
      <c r="L404" t="inlineStr">
        <is>
          <t>Delivered</t>
        </is>
      </c>
      <c r="M404" t="inlineStr">
        <is>
          <t>PAY02</t>
        </is>
      </c>
      <c r="N404" t="inlineStr">
        <is>
          <t>Evening</t>
        </is>
      </c>
      <c r="O404">
        <f>INDEX(Products_Catalog!$B$2:$B$151, MATCH(C404, Products_Catalog!$A$2:$A$151, 0))</f>
        <v/>
      </c>
      <c r="P404" s="13">
        <f>INDEX(Products_Catalog!$D$2:$D$151, MATCH(C404, Products_Catalog!$A$2:$A$151, 0))</f>
        <v/>
      </c>
      <c r="Q404" s="13">
        <f>I404-J404</f>
        <v/>
      </c>
      <c r="R404" s="15">
        <f>IF(K404&gt;20, "BREACH", "OK")</f>
        <v/>
      </c>
    </row>
    <row r="405">
      <c r="A405" t="inlineStr">
        <is>
          <t>ORD01415</t>
        </is>
      </c>
      <c r="B405" t="inlineStr">
        <is>
          <t>CUST0048</t>
        </is>
      </c>
      <c r="C405" t="inlineStr">
        <is>
          <t>PROD125</t>
        </is>
      </c>
      <c r="D405" t="inlineStr">
        <is>
          <t>STORE019</t>
        </is>
      </c>
      <c r="E405" t="inlineStr">
        <is>
          <t>DP015</t>
        </is>
      </c>
      <c r="F405" t="inlineStr">
        <is>
          <t>2025-05-06 11:26:00</t>
        </is>
      </c>
      <c r="G405" t="inlineStr">
        <is>
          <t>2025-05-06 11:41:00</t>
        </is>
      </c>
      <c r="H405" s="14" t="n">
        <v>1</v>
      </c>
      <c r="I405" s="13" t="n">
        <v>244.2</v>
      </c>
      <c r="J405" s="13" t="n">
        <v>27.05</v>
      </c>
      <c r="K405" s="16" t="n">
        <v>15</v>
      </c>
      <c r="L405" t="inlineStr">
        <is>
          <t>Delivered</t>
        </is>
      </c>
      <c r="M405" t="inlineStr">
        <is>
          <t>PAY05</t>
        </is>
      </c>
      <c r="N405" t="inlineStr">
        <is>
          <t>Morning</t>
        </is>
      </c>
      <c r="O405">
        <f>INDEX(Products_Catalog!$B$2:$B$151, MATCH(C405, Products_Catalog!$A$2:$A$151, 0))</f>
        <v/>
      </c>
      <c r="P405" s="13">
        <f>INDEX(Products_Catalog!$D$2:$D$151, MATCH(C405, Products_Catalog!$A$2:$A$151, 0))</f>
        <v/>
      </c>
      <c r="Q405" s="13">
        <f>I405-J405</f>
        <v/>
      </c>
      <c r="R405" s="15">
        <f>IF(K405&gt;20, "BREACH", "OK")</f>
        <v/>
      </c>
    </row>
    <row r="406">
      <c r="A406" t="inlineStr">
        <is>
          <t>ORD01416</t>
        </is>
      </c>
      <c r="B406" t="inlineStr">
        <is>
          <t>CUST0002</t>
        </is>
      </c>
      <c r="C406" t="inlineStr">
        <is>
          <t>PROD123</t>
        </is>
      </c>
      <c r="D406" t="inlineStr">
        <is>
          <t>STORE042</t>
        </is>
      </c>
      <c r="E406" t="inlineStr">
        <is>
          <t>DP015</t>
        </is>
      </c>
      <c r="F406" t="inlineStr">
        <is>
          <t>2025-06-19 14:17:00</t>
        </is>
      </c>
      <c r="G406" t="inlineStr">
        <is>
          <t>2025-06-19 14:33:00</t>
        </is>
      </c>
      <c r="H406" s="14" t="n">
        <v>5</v>
      </c>
      <c r="I406" s="13" t="n">
        <v>428.8</v>
      </c>
      <c r="J406" s="13" t="n">
        <v>64.31999999999999</v>
      </c>
      <c r="K406" s="16" t="n">
        <v>16</v>
      </c>
      <c r="L406" t="inlineStr">
        <is>
          <t>Cancelled</t>
        </is>
      </c>
      <c r="M406" t="inlineStr">
        <is>
          <t>PAY04</t>
        </is>
      </c>
      <c r="N406" t="inlineStr">
        <is>
          <t>Afternoon</t>
        </is>
      </c>
      <c r="O406">
        <f>INDEX(Products_Catalog!$B$2:$B$151, MATCH(C406, Products_Catalog!$A$2:$A$151, 0))</f>
        <v/>
      </c>
      <c r="P406" s="13">
        <f>INDEX(Products_Catalog!$D$2:$D$151, MATCH(C406, Products_Catalog!$A$2:$A$151, 0))</f>
        <v/>
      </c>
      <c r="Q406" s="13">
        <f>I406-J406</f>
        <v/>
      </c>
      <c r="R406" s="15">
        <f>IF(K406&gt;20, "BREACH", "OK")</f>
        <v/>
      </c>
    </row>
    <row r="407">
      <c r="A407" t="inlineStr">
        <is>
          <t>ORD01417</t>
        </is>
      </c>
      <c r="B407" t="inlineStr">
        <is>
          <t>CUST0042</t>
        </is>
      </c>
      <c r="C407" t="inlineStr">
        <is>
          <t>PROD072</t>
        </is>
      </c>
      <c r="D407" t="inlineStr">
        <is>
          <t>STORE041</t>
        </is>
      </c>
      <c r="E407" t="inlineStr">
        <is>
          <t>DP013</t>
        </is>
      </c>
      <c r="F407" t="inlineStr">
        <is>
          <t>2024-11-06 17:27:00</t>
        </is>
      </c>
      <c r="G407" t="inlineStr">
        <is>
          <t>2024-11-06 17:44:00</t>
        </is>
      </c>
      <c r="H407" s="14" t="n">
        <v>9</v>
      </c>
      <c r="I407" s="13" t="n">
        <v>1852.56</v>
      </c>
      <c r="J407" s="13" t="n">
        <v>404.35</v>
      </c>
      <c r="K407" s="16" t="n">
        <v>17</v>
      </c>
      <c r="L407" t="inlineStr">
        <is>
          <t>Returned</t>
        </is>
      </c>
      <c r="M407" t="inlineStr">
        <is>
          <t>PAY03</t>
        </is>
      </c>
      <c r="N407" t="inlineStr">
        <is>
          <t>Evening</t>
        </is>
      </c>
      <c r="O407">
        <f>INDEX(Products_Catalog!$B$2:$B$151, MATCH(C407, Products_Catalog!$A$2:$A$151, 0))</f>
        <v/>
      </c>
      <c r="P407" s="13">
        <f>INDEX(Products_Catalog!$D$2:$D$151, MATCH(C407, Products_Catalog!$A$2:$A$151, 0))</f>
        <v/>
      </c>
      <c r="Q407" s="13">
        <f>I407-J407</f>
        <v/>
      </c>
      <c r="R407" s="15">
        <f>IF(K407&gt;20, "BREACH", "OK")</f>
        <v/>
      </c>
    </row>
    <row r="408">
      <c r="A408" t="inlineStr">
        <is>
          <t>ORD01420</t>
        </is>
      </c>
      <c r="B408" t="inlineStr">
        <is>
          <t>CUST0038</t>
        </is>
      </c>
      <c r="C408" t="inlineStr">
        <is>
          <t>PROD018</t>
        </is>
      </c>
      <c r="D408" t="inlineStr">
        <is>
          <t>STORE012</t>
        </is>
      </c>
      <c r="E408" t="inlineStr">
        <is>
          <t>DP010</t>
        </is>
      </c>
      <c r="F408" t="inlineStr">
        <is>
          <t>2024-04-04 09:48:00</t>
        </is>
      </c>
      <c r="G408" t="inlineStr">
        <is>
          <t>2024-04-04 10:08:00</t>
        </is>
      </c>
      <c r="H408" s="14" t="n">
        <v>1</v>
      </c>
      <c r="I408" s="13" t="n">
        <v>240.39</v>
      </c>
      <c r="J408" s="13" t="n">
        <v>43.98</v>
      </c>
      <c r="K408" s="16" t="n">
        <v>20</v>
      </c>
      <c r="L408" t="inlineStr">
        <is>
          <t>Returned</t>
        </is>
      </c>
      <c r="M408" t="inlineStr">
        <is>
          <t>PAY01</t>
        </is>
      </c>
      <c r="N408" t="inlineStr">
        <is>
          <t>Morning</t>
        </is>
      </c>
      <c r="O408">
        <f>INDEX(Products_Catalog!$B$2:$B$151, MATCH(C408, Products_Catalog!$A$2:$A$151, 0))</f>
        <v/>
      </c>
      <c r="P408" s="13">
        <f>INDEX(Products_Catalog!$D$2:$D$151, MATCH(C408, Products_Catalog!$A$2:$A$151, 0))</f>
        <v/>
      </c>
      <c r="Q408" s="13">
        <f>I408-J408</f>
        <v/>
      </c>
      <c r="R408" s="15">
        <f>IF(K408&gt;20, "BREACH", "OK")</f>
        <v/>
      </c>
    </row>
    <row r="409">
      <c r="A409" t="inlineStr">
        <is>
          <t>ORD01421</t>
        </is>
      </c>
      <c r="B409" t="inlineStr">
        <is>
          <t>CUST0006</t>
        </is>
      </c>
      <c r="C409" t="inlineStr">
        <is>
          <t>PROD108</t>
        </is>
      </c>
      <c r="D409" t="inlineStr">
        <is>
          <t>STORE042</t>
        </is>
      </c>
      <c r="E409" t="inlineStr">
        <is>
          <t>DP011</t>
        </is>
      </c>
      <c r="F409" t="inlineStr">
        <is>
          <t>2024-07-09 08:26:00</t>
        </is>
      </c>
      <c r="G409" t="inlineStr">
        <is>
          <t>2024-07-09 08:47:00</t>
        </is>
      </c>
      <c r="H409" s="14" t="n">
        <v>1</v>
      </c>
      <c r="I409" s="13" t="n">
        <v>142.47</v>
      </c>
      <c r="J409" s="13" t="n">
        <v>12.77</v>
      </c>
      <c r="K409" s="16" t="n">
        <v>21</v>
      </c>
      <c r="L409" t="inlineStr">
        <is>
          <t>Returned</t>
        </is>
      </c>
      <c r="M409" t="inlineStr">
        <is>
          <t>PAY03</t>
        </is>
      </c>
      <c r="N409" t="inlineStr">
        <is>
          <t>Morning</t>
        </is>
      </c>
      <c r="O409">
        <f>INDEX(Products_Catalog!$B$2:$B$151, MATCH(C409, Products_Catalog!$A$2:$A$151, 0))</f>
        <v/>
      </c>
      <c r="P409" s="13">
        <f>INDEX(Products_Catalog!$D$2:$D$151, MATCH(C409, Products_Catalog!$A$2:$A$151, 0))</f>
        <v/>
      </c>
      <c r="Q409" s="13">
        <f>I409-J409</f>
        <v/>
      </c>
      <c r="R409" s="15">
        <f>IF(K409&gt;20, "BREACH", "OK")</f>
        <v/>
      </c>
    </row>
    <row r="410">
      <c r="A410" t="inlineStr">
        <is>
          <t>ORD01422</t>
        </is>
      </c>
      <c r="B410" t="inlineStr">
        <is>
          <t>CUST0025</t>
        </is>
      </c>
      <c r="C410" t="inlineStr">
        <is>
          <t>PROD023</t>
        </is>
      </c>
      <c r="D410" t="inlineStr">
        <is>
          <t>STORE033</t>
        </is>
      </c>
      <c r="E410" t="inlineStr">
        <is>
          <t>DP036</t>
        </is>
      </c>
      <c r="F410" t="inlineStr">
        <is>
          <t>2025-02-24 12:49:00</t>
        </is>
      </c>
      <c r="G410" t="inlineStr">
        <is>
          <t>2025-02-24 13:11:00</t>
        </is>
      </c>
      <c r="H410" s="14" t="n">
        <v>8</v>
      </c>
      <c r="I410" s="13" t="n">
        <v>2246.16</v>
      </c>
      <c r="J410" s="13" t="n">
        <v>117.87</v>
      </c>
      <c r="K410" s="16" t="n">
        <v>22</v>
      </c>
      <c r="L410" t="inlineStr">
        <is>
          <t>Delivered</t>
        </is>
      </c>
      <c r="M410" t="inlineStr">
        <is>
          <t>PAY01</t>
        </is>
      </c>
      <c r="N410" t="inlineStr">
        <is>
          <t>Afternoon</t>
        </is>
      </c>
      <c r="O410">
        <f>INDEX(Products_Catalog!$B$2:$B$151, MATCH(C410, Products_Catalog!$A$2:$A$151, 0))</f>
        <v/>
      </c>
      <c r="P410" s="13">
        <f>INDEX(Products_Catalog!$D$2:$D$151, MATCH(C410, Products_Catalog!$A$2:$A$151, 0))</f>
        <v/>
      </c>
      <c r="Q410" s="13">
        <f>I410-J410</f>
        <v/>
      </c>
      <c r="R410" s="15">
        <f>IF(K410&gt;20, "BREACH", "OK")</f>
        <v/>
      </c>
    </row>
    <row r="411">
      <c r="A411" t="inlineStr">
        <is>
          <t>ORD01423</t>
        </is>
      </c>
      <c r="B411" t="inlineStr">
        <is>
          <t>CUST0028</t>
        </is>
      </c>
      <c r="C411" t="inlineStr">
        <is>
          <t>PROD107</t>
        </is>
      </c>
      <c r="D411" t="inlineStr">
        <is>
          <t>STORE024</t>
        </is>
      </c>
      <c r="E411" t="inlineStr">
        <is>
          <t>DP039</t>
        </is>
      </c>
      <c r="F411" t="inlineStr">
        <is>
          <t>2024-10-30 13:42:00</t>
        </is>
      </c>
      <c r="G411" t="inlineStr">
        <is>
          <t>2024-10-30 14:05:00</t>
        </is>
      </c>
      <c r="H411" s="14" t="n">
        <v>6</v>
      </c>
      <c r="I411" s="13" t="n">
        <v>1723.68</v>
      </c>
      <c r="J411" s="13" t="n">
        <v>222.97</v>
      </c>
      <c r="K411" s="16" t="n">
        <v>23</v>
      </c>
      <c r="L411" t="inlineStr">
        <is>
          <t>Pending</t>
        </is>
      </c>
      <c r="M411" t="inlineStr">
        <is>
          <t>PAY02</t>
        </is>
      </c>
      <c r="N411" t="inlineStr">
        <is>
          <t>Afternoon</t>
        </is>
      </c>
      <c r="O411">
        <f>INDEX(Products_Catalog!$B$2:$B$151, MATCH(C411, Products_Catalog!$A$2:$A$151, 0))</f>
        <v/>
      </c>
      <c r="P411" s="13">
        <f>INDEX(Products_Catalog!$D$2:$D$151, MATCH(C411, Products_Catalog!$A$2:$A$151, 0))</f>
        <v/>
      </c>
      <c r="Q411" s="13">
        <f>I411-J411</f>
        <v/>
      </c>
      <c r="R411" s="15">
        <f>IF(K411&gt;20, "BREACH", "OK")</f>
        <v/>
      </c>
    </row>
    <row r="412">
      <c r="A412" t="inlineStr">
        <is>
          <t>ORD01424</t>
        </is>
      </c>
      <c r="B412" t="inlineStr">
        <is>
          <t>CUST0048</t>
        </is>
      </c>
      <c r="C412" t="inlineStr">
        <is>
          <t>PROD055</t>
        </is>
      </c>
      <c r="D412" t="inlineStr">
        <is>
          <t>STORE026</t>
        </is>
      </c>
      <c r="E412" t="inlineStr">
        <is>
          <t>DP035</t>
        </is>
      </c>
      <c r="F412" t="inlineStr">
        <is>
          <t>2024-01-16 16:33:00</t>
        </is>
      </c>
      <c r="G412" t="inlineStr">
        <is>
          <t>2024-01-16 16:57:00</t>
        </is>
      </c>
      <c r="H412" s="14" t="n">
        <v>7</v>
      </c>
      <c r="I412" s="13" t="n">
        <v>3279.29</v>
      </c>
      <c r="J412" s="13" t="n">
        <v>457.46</v>
      </c>
      <c r="K412" s="16" t="n">
        <v>24</v>
      </c>
      <c r="L412" t="inlineStr">
        <is>
          <t>Delivered</t>
        </is>
      </c>
      <c r="M412" t="inlineStr">
        <is>
          <t>PAY03</t>
        </is>
      </c>
      <c r="N412" t="inlineStr">
        <is>
          <t>Afternoon</t>
        </is>
      </c>
      <c r="O412">
        <f>INDEX(Products_Catalog!$B$2:$B$151, MATCH(C412, Products_Catalog!$A$2:$A$151, 0))</f>
        <v/>
      </c>
      <c r="P412" s="13">
        <f>INDEX(Products_Catalog!$D$2:$D$151, MATCH(C412, Products_Catalog!$A$2:$A$151, 0))</f>
        <v/>
      </c>
      <c r="Q412" s="13">
        <f>I412-J412</f>
        <v/>
      </c>
      <c r="R412" s="15">
        <f>IF(K412&gt;20, "BREACH", "OK")</f>
        <v/>
      </c>
    </row>
    <row r="413">
      <c r="A413" t="inlineStr">
        <is>
          <t>ORD01425</t>
        </is>
      </c>
      <c r="B413" t="inlineStr">
        <is>
          <t>CUST0033</t>
        </is>
      </c>
      <c r="C413" t="inlineStr">
        <is>
          <t>PROD045</t>
        </is>
      </c>
      <c r="D413" t="inlineStr">
        <is>
          <t>STORE019</t>
        </is>
      </c>
      <c r="E413" t="inlineStr">
        <is>
          <t>DP029</t>
        </is>
      </c>
      <c r="F413" t="inlineStr">
        <is>
          <t>2024-05-09 18:01:00</t>
        </is>
      </c>
      <c r="G413" t="inlineStr">
        <is>
          <t>2024-05-09 18:26:00</t>
        </is>
      </c>
      <c r="H413" s="14" t="n">
        <v>9</v>
      </c>
      <c r="I413" s="13" t="n">
        <v>776.52</v>
      </c>
      <c r="J413" s="13" t="n">
        <v>16.19</v>
      </c>
      <c r="K413" s="16" t="n">
        <v>25</v>
      </c>
      <c r="L413" t="inlineStr">
        <is>
          <t>Returned</t>
        </is>
      </c>
      <c r="M413" t="inlineStr">
        <is>
          <t>PAY03</t>
        </is>
      </c>
      <c r="N413" t="inlineStr">
        <is>
          <t>Evening</t>
        </is>
      </c>
      <c r="O413">
        <f>INDEX(Products_Catalog!$B$2:$B$151, MATCH(C413, Products_Catalog!$A$2:$A$151, 0))</f>
        <v/>
      </c>
      <c r="P413" s="13">
        <f>INDEX(Products_Catalog!$D$2:$D$151, MATCH(C413, Products_Catalog!$A$2:$A$151, 0))</f>
        <v/>
      </c>
      <c r="Q413" s="13">
        <f>I413-J413</f>
        <v/>
      </c>
      <c r="R413" s="15">
        <f>IF(K413&gt;20, "BREACH", "OK")</f>
        <v/>
      </c>
    </row>
    <row r="414">
      <c r="A414" t="inlineStr">
        <is>
          <t>ORD01426</t>
        </is>
      </c>
      <c r="B414" t="inlineStr">
        <is>
          <t>CUST0042</t>
        </is>
      </c>
      <c r="C414" t="inlineStr">
        <is>
          <t>PROD061</t>
        </is>
      </c>
      <c r="D414" t="inlineStr">
        <is>
          <t>STORE025</t>
        </is>
      </c>
      <c r="E414" t="inlineStr">
        <is>
          <t>DP041</t>
        </is>
      </c>
      <c r="F414" t="inlineStr">
        <is>
          <t>2024-06-24 15:10:00</t>
        </is>
      </c>
      <c r="G414" t="inlineStr">
        <is>
          <t>2024-06-24 15:36:00</t>
        </is>
      </c>
      <c r="H414" s="14" t="n">
        <v>4</v>
      </c>
      <c r="I414" s="13" t="n">
        <v>1513.84</v>
      </c>
      <c r="J414" s="13" t="n">
        <v>346.37</v>
      </c>
      <c r="K414" s="16" t="n">
        <v>26</v>
      </c>
      <c r="L414" t="inlineStr">
        <is>
          <t>Pending</t>
        </is>
      </c>
      <c r="M414" t="inlineStr">
        <is>
          <t>PAY05</t>
        </is>
      </c>
      <c r="N414" t="inlineStr">
        <is>
          <t>Afternoon</t>
        </is>
      </c>
      <c r="O414">
        <f>INDEX(Products_Catalog!$B$2:$B$151, MATCH(C414, Products_Catalog!$A$2:$A$151, 0))</f>
        <v/>
      </c>
      <c r="P414" s="13">
        <f>INDEX(Products_Catalog!$D$2:$D$151, MATCH(C414, Products_Catalog!$A$2:$A$151, 0))</f>
        <v/>
      </c>
      <c r="Q414" s="13">
        <f>I414-J414</f>
        <v/>
      </c>
      <c r="R414" s="15">
        <f>IF(K414&gt;20, "BREACH", "OK")</f>
        <v/>
      </c>
    </row>
    <row r="415">
      <c r="A415" t="inlineStr">
        <is>
          <t>ORD01427</t>
        </is>
      </c>
      <c r="B415" t="inlineStr">
        <is>
          <t>CUST0025</t>
        </is>
      </c>
      <c r="C415" t="inlineStr">
        <is>
          <t>PROD122</t>
        </is>
      </c>
      <c r="D415" t="inlineStr">
        <is>
          <t>STORE046</t>
        </is>
      </c>
      <c r="E415" t="inlineStr">
        <is>
          <t>DP031</t>
        </is>
      </c>
      <c r="F415" t="inlineStr">
        <is>
          <t>2024-07-05 19:21:00</t>
        </is>
      </c>
      <c r="G415" t="inlineStr">
        <is>
          <t>2024-07-05 19:48:00</t>
        </is>
      </c>
      <c r="H415" s="14" t="n">
        <v>4</v>
      </c>
      <c r="I415" s="13" t="n">
        <v>1707.6</v>
      </c>
      <c r="J415" s="13" t="n">
        <v>300.52</v>
      </c>
      <c r="K415" s="16" t="n">
        <v>27</v>
      </c>
      <c r="L415" t="inlineStr">
        <is>
          <t>Shipped</t>
        </is>
      </c>
      <c r="M415" t="inlineStr">
        <is>
          <t>PAY01</t>
        </is>
      </c>
      <c r="N415" t="inlineStr">
        <is>
          <t>Evening</t>
        </is>
      </c>
      <c r="O415">
        <f>INDEX(Products_Catalog!$B$2:$B$151, MATCH(C415, Products_Catalog!$A$2:$A$151, 0))</f>
        <v/>
      </c>
      <c r="P415" s="13">
        <f>INDEX(Products_Catalog!$D$2:$D$151, MATCH(C415, Products_Catalog!$A$2:$A$151, 0))</f>
        <v/>
      </c>
      <c r="Q415" s="13">
        <f>I415-J415</f>
        <v/>
      </c>
      <c r="R415" s="15">
        <f>IF(K415&gt;20, "BREACH", "OK")</f>
        <v/>
      </c>
    </row>
    <row r="416">
      <c r="A416" t="inlineStr">
        <is>
          <t>ORD01428</t>
        </is>
      </c>
      <c r="B416" t="inlineStr">
        <is>
          <t>CUST0041</t>
        </is>
      </c>
      <c r="C416" t="inlineStr">
        <is>
          <t>PROD055</t>
        </is>
      </c>
      <c r="D416" t="inlineStr">
        <is>
          <t>STORE020</t>
        </is>
      </c>
      <c r="E416" t="inlineStr">
        <is>
          <t>DP023</t>
        </is>
      </c>
      <c r="F416" t="inlineStr">
        <is>
          <t>2025-03-29 15:15:00</t>
        </is>
      </c>
      <c r="G416" t="inlineStr">
        <is>
          <t>2025-03-29 15:43:00</t>
        </is>
      </c>
      <c r="H416" s="14" t="n">
        <v>1</v>
      </c>
      <c r="I416" s="13" t="n">
        <v>470.21</v>
      </c>
      <c r="J416" s="13" t="n">
        <v>92.19</v>
      </c>
      <c r="K416" s="16" t="n">
        <v>28</v>
      </c>
      <c r="L416" t="inlineStr">
        <is>
          <t>Delivered</t>
        </is>
      </c>
      <c r="M416" t="inlineStr">
        <is>
          <t>PAY05</t>
        </is>
      </c>
      <c r="N416" t="inlineStr">
        <is>
          <t>Afternoon</t>
        </is>
      </c>
      <c r="O416">
        <f>INDEX(Products_Catalog!$B$2:$B$151, MATCH(C416, Products_Catalog!$A$2:$A$151, 0))</f>
        <v/>
      </c>
      <c r="P416" s="13">
        <f>INDEX(Products_Catalog!$D$2:$D$151, MATCH(C416, Products_Catalog!$A$2:$A$151, 0))</f>
        <v/>
      </c>
      <c r="Q416" s="13">
        <f>I416-J416</f>
        <v/>
      </c>
      <c r="R416" s="15">
        <f>IF(K416&gt;20, "BREACH", "OK")</f>
        <v/>
      </c>
    </row>
    <row r="417">
      <c r="A417" t="inlineStr">
        <is>
          <t>ORD01429</t>
        </is>
      </c>
      <c r="B417" t="inlineStr">
        <is>
          <t>CUST0042</t>
        </is>
      </c>
      <c r="C417" t="inlineStr">
        <is>
          <t>PROD135</t>
        </is>
      </c>
      <c r="D417" t="inlineStr">
        <is>
          <t>STORE030</t>
        </is>
      </c>
      <c r="E417" t="inlineStr">
        <is>
          <t>DP021</t>
        </is>
      </c>
      <c r="F417" t="inlineStr">
        <is>
          <t>2024-06-09 16:12:00</t>
        </is>
      </c>
      <c r="G417" t="inlineStr">
        <is>
          <t>2024-06-09 16:41:00</t>
        </is>
      </c>
      <c r="H417" s="14" t="n">
        <v>6</v>
      </c>
      <c r="I417" s="13" t="n">
        <v>1489.02</v>
      </c>
      <c r="J417" s="13" t="n">
        <v>163.3</v>
      </c>
      <c r="K417" s="16" t="n">
        <v>29</v>
      </c>
      <c r="L417" t="inlineStr">
        <is>
          <t>Shipped</t>
        </is>
      </c>
      <c r="M417" t="inlineStr">
        <is>
          <t>PAY02</t>
        </is>
      </c>
      <c r="N417" t="inlineStr">
        <is>
          <t>Afternoon</t>
        </is>
      </c>
      <c r="O417">
        <f>INDEX(Products_Catalog!$B$2:$B$151, MATCH(C417, Products_Catalog!$A$2:$A$151, 0))</f>
        <v/>
      </c>
      <c r="P417" s="13">
        <f>INDEX(Products_Catalog!$D$2:$D$151, MATCH(C417, Products_Catalog!$A$2:$A$151, 0))</f>
        <v/>
      </c>
      <c r="Q417" s="13">
        <f>I417-J417</f>
        <v/>
      </c>
      <c r="R417" s="15">
        <f>IF(K417&gt;20, "BREACH", "OK")</f>
        <v/>
      </c>
    </row>
    <row r="418">
      <c r="A418" t="inlineStr">
        <is>
          <t>ORD01430</t>
        </is>
      </c>
      <c r="B418" t="inlineStr">
        <is>
          <t>CUST0043</t>
        </is>
      </c>
      <c r="C418" t="inlineStr">
        <is>
          <t>PROD126</t>
        </is>
      </c>
      <c r="D418" t="inlineStr">
        <is>
          <t>STORE004</t>
        </is>
      </c>
      <c r="E418" t="inlineStr">
        <is>
          <t>DP049</t>
        </is>
      </c>
      <c r="F418" t="inlineStr">
        <is>
          <t>2024-01-17 12:32:00</t>
        </is>
      </c>
      <c r="G418" t="inlineStr">
        <is>
          <t>2024-01-17 13:02:00</t>
        </is>
      </c>
      <c r="H418" s="14" t="n">
        <v>9</v>
      </c>
      <c r="I418" s="13" t="n">
        <v>4479.93</v>
      </c>
      <c r="J418" s="13" t="n">
        <v>1151.95</v>
      </c>
      <c r="K418" s="16" t="n">
        <v>30</v>
      </c>
      <c r="L418" t="inlineStr">
        <is>
          <t>Pending</t>
        </is>
      </c>
      <c r="M418" t="inlineStr">
        <is>
          <t>PAY05</t>
        </is>
      </c>
      <c r="N418" t="inlineStr">
        <is>
          <t>Afternoon</t>
        </is>
      </c>
      <c r="O418">
        <f>INDEX(Products_Catalog!$B$2:$B$151, MATCH(C418, Products_Catalog!$A$2:$A$151, 0))</f>
        <v/>
      </c>
      <c r="P418" s="13">
        <f>INDEX(Products_Catalog!$D$2:$D$151, MATCH(C418, Products_Catalog!$A$2:$A$151, 0))</f>
        <v/>
      </c>
      <c r="Q418" s="13">
        <f>I418-J418</f>
        <v/>
      </c>
      <c r="R418" s="15">
        <f>IF(K418&gt;20, "BREACH", "OK")</f>
        <v/>
      </c>
    </row>
    <row r="419">
      <c r="A419" t="inlineStr">
        <is>
          <t>ORD01432</t>
        </is>
      </c>
      <c r="B419" t="inlineStr">
        <is>
          <t>CUST0045</t>
        </is>
      </c>
      <c r="C419" t="inlineStr">
        <is>
          <t>PROD088</t>
        </is>
      </c>
      <c r="D419" t="inlineStr">
        <is>
          <t>STORE010</t>
        </is>
      </c>
      <c r="E419" t="inlineStr">
        <is>
          <t>DP027</t>
        </is>
      </c>
      <c r="F419" t="inlineStr">
        <is>
          <t>2024-11-18 08:49:00</t>
        </is>
      </c>
      <c r="G419" t="inlineStr">
        <is>
          <t>2024-11-18 09:00:00</t>
        </is>
      </c>
      <c r="H419" s="14" t="n">
        <v>10</v>
      </c>
      <c r="I419" s="13" t="n">
        <v>1521.9</v>
      </c>
      <c r="J419" s="13" t="n">
        <v>242.2</v>
      </c>
      <c r="K419" s="16" t="n">
        <v>11</v>
      </c>
      <c r="L419" t="inlineStr">
        <is>
          <t>Shipped</t>
        </is>
      </c>
      <c r="M419" t="inlineStr">
        <is>
          <t>PAY04</t>
        </is>
      </c>
      <c r="N419" t="inlineStr">
        <is>
          <t>Morning</t>
        </is>
      </c>
      <c r="O419">
        <f>INDEX(Products_Catalog!$B$2:$B$151, MATCH(C419, Products_Catalog!$A$2:$A$151, 0))</f>
        <v/>
      </c>
      <c r="P419" s="13">
        <f>INDEX(Products_Catalog!$D$2:$D$151, MATCH(C419, Products_Catalog!$A$2:$A$151, 0))</f>
        <v/>
      </c>
      <c r="Q419" s="13">
        <f>I419-J419</f>
        <v/>
      </c>
      <c r="R419" s="15">
        <f>IF(K419&gt;20, "BREACH", "OK")</f>
        <v/>
      </c>
    </row>
    <row r="420">
      <c r="A420" t="inlineStr">
        <is>
          <t>ORD01434</t>
        </is>
      </c>
      <c r="B420" t="inlineStr">
        <is>
          <t>CUST0024</t>
        </is>
      </c>
      <c r="C420" t="inlineStr">
        <is>
          <t>PROD044</t>
        </is>
      </c>
      <c r="D420" t="inlineStr">
        <is>
          <t>STORE029</t>
        </is>
      </c>
      <c r="E420" t="inlineStr">
        <is>
          <t>DP031</t>
        </is>
      </c>
      <c r="F420" t="inlineStr">
        <is>
          <t>2025-03-15 19:00:00</t>
        </is>
      </c>
      <c r="G420" t="inlineStr">
        <is>
          <t>2025-03-15 19:14:00</t>
        </is>
      </c>
      <c r="H420" s="14" t="n">
        <v>8</v>
      </c>
      <c r="I420" s="13" t="n">
        <v>3361.6</v>
      </c>
      <c r="J420" s="13" t="n">
        <v>336.76</v>
      </c>
      <c r="K420" s="16" t="n">
        <v>14</v>
      </c>
      <c r="L420" t="inlineStr">
        <is>
          <t>Delivered</t>
        </is>
      </c>
      <c r="M420" t="inlineStr">
        <is>
          <t>PAY02</t>
        </is>
      </c>
      <c r="N420" t="inlineStr">
        <is>
          <t>Evening</t>
        </is>
      </c>
      <c r="O420">
        <f>INDEX(Products_Catalog!$B$2:$B$151, MATCH(C420, Products_Catalog!$A$2:$A$151, 0))</f>
        <v/>
      </c>
      <c r="P420" s="13">
        <f>INDEX(Products_Catalog!$D$2:$D$151, MATCH(C420, Products_Catalog!$A$2:$A$151, 0))</f>
        <v/>
      </c>
      <c r="Q420" s="13">
        <f>I420-J420</f>
        <v/>
      </c>
      <c r="R420" s="15">
        <f>IF(K420&gt;20, "BREACH", "OK")</f>
        <v/>
      </c>
    </row>
    <row r="421">
      <c r="A421" t="inlineStr">
        <is>
          <t>ORD01435</t>
        </is>
      </c>
      <c r="B421" t="inlineStr">
        <is>
          <t>CUST0037</t>
        </is>
      </c>
      <c r="C421" t="inlineStr">
        <is>
          <t>PROD079</t>
        </is>
      </c>
      <c r="D421" t="inlineStr">
        <is>
          <t>STORE009</t>
        </is>
      </c>
      <c r="E421" t="inlineStr">
        <is>
          <t>DP030</t>
        </is>
      </c>
      <c r="F421" t="inlineStr">
        <is>
          <t>2024-04-03 16:07:00</t>
        </is>
      </c>
      <c r="G421" t="inlineStr">
        <is>
          <t>2024-04-03 16:22:00</t>
        </is>
      </c>
      <c r="H421" s="14" t="n">
        <v>4</v>
      </c>
      <c r="I421" s="13" t="n">
        <v>1303.6</v>
      </c>
      <c r="J421" s="13" t="n">
        <v>252.34</v>
      </c>
      <c r="K421" s="16" t="n">
        <v>15</v>
      </c>
      <c r="L421" t="inlineStr">
        <is>
          <t>Shipped</t>
        </is>
      </c>
      <c r="M421" t="inlineStr">
        <is>
          <t>PAY02</t>
        </is>
      </c>
      <c r="N421" t="inlineStr">
        <is>
          <t>Afternoon</t>
        </is>
      </c>
      <c r="O421">
        <f>INDEX(Products_Catalog!$B$2:$B$151, MATCH(C421, Products_Catalog!$A$2:$A$151, 0))</f>
        <v/>
      </c>
      <c r="P421" s="13">
        <f>INDEX(Products_Catalog!$D$2:$D$151, MATCH(C421, Products_Catalog!$A$2:$A$151, 0))</f>
        <v/>
      </c>
      <c r="Q421" s="13">
        <f>I421-J421</f>
        <v/>
      </c>
      <c r="R421" s="15">
        <f>IF(K421&gt;20, "BREACH", "OK")</f>
        <v/>
      </c>
    </row>
    <row r="422">
      <c r="A422" t="inlineStr">
        <is>
          <t>ORD01436</t>
        </is>
      </c>
      <c r="B422" t="inlineStr">
        <is>
          <t>CUST0042</t>
        </is>
      </c>
      <c r="C422" t="inlineStr">
        <is>
          <t>PROD097</t>
        </is>
      </c>
      <c r="D422" t="inlineStr">
        <is>
          <t>STORE005</t>
        </is>
      </c>
      <c r="E422" t="inlineStr">
        <is>
          <t>DP047</t>
        </is>
      </c>
      <c r="F422" t="inlineStr">
        <is>
          <t>2024-12-20 11:27:00</t>
        </is>
      </c>
      <c r="G422" t="inlineStr">
        <is>
          <t>2024-12-20 11:43:00</t>
        </is>
      </c>
      <c r="H422" s="14" t="n">
        <v>8</v>
      </c>
      <c r="I422" s="13" t="n">
        <v>3446.96</v>
      </c>
      <c r="J422" s="13" t="n">
        <v>77.43000000000001</v>
      </c>
      <c r="K422" s="16" t="n">
        <v>16</v>
      </c>
      <c r="L422" t="inlineStr">
        <is>
          <t>Returned</t>
        </is>
      </c>
      <c r="M422" t="inlineStr">
        <is>
          <t>PAY03</t>
        </is>
      </c>
      <c r="N422" t="inlineStr">
        <is>
          <t>Morning</t>
        </is>
      </c>
      <c r="O422">
        <f>INDEX(Products_Catalog!$B$2:$B$151, MATCH(C422, Products_Catalog!$A$2:$A$151, 0))</f>
        <v/>
      </c>
      <c r="P422" s="13">
        <f>INDEX(Products_Catalog!$D$2:$D$151, MATCH(C422, Products_Catalog!$A$2:$A$151, 0))</f>
        <v/>
      </c>
      <c r="Q422" s="13">
        <f>I422-J422</f>
        <v/>
      </c>
      <c r="R422" s="15">
        <f>IF(K422&gt;20, "BREACH", "OK")</f>
        <v/>
      </c>
    </row>
    <row r="423">
      <c r="A423" t="inlineStr">
        <is>
          <t>ORD01438</t>
        </is>
      </c>
      <c r="B423" t="inlineStr">
        <is>
          <t>CUST0001</t>
        </is>
      </c>
      <c r="C423" t="inlineStr">
        <is>
          <t>PROD001</t>
        </is>
      </c>
      <c r="D423" t="inlineStr">
        <is>
          <t>STORE042</t>
        </is>
      </c>
      <c r="E423" t="inlineStr">
        <is>
          <t>DP031</t>
        </is>
      </c>
      <c r="F423" t="inlineStr">
        <is>
          <t>2024-04-12 16:12:00</t>
        </is>
      </c>
      <c r="G423" t="inlineStr">
        <is>
          <t>2024-04-12 16:30:00</t>
        </is>
      </c>
      <c r="H423" s="14" t="n">
        <v>10</v>
      </c>
      <c r="I423" s="13" t="n">
        <v>2611.4</v>
      </c>
      <c r="J423" s="13" t="n">
        <v>737.21</v>
      </c>
      <c r="K423" s="16" t="n">
        <v>18</v>
      </c>
      <c r="L423" t="inlineStr">
        <is>
          <t>Cancelled</t>
        </is>
      </c>
      <c r="M423" t="inlineStr">
        <is>
          <t>PAY02</t>
        </is>
      </c>
      <c r="N423" t="inlineStr">
        <is>
          <t>Afternoon</t>
        </is>
      </c>
      <c r="O423">
        <f>INDEX(Products_Catalog!$B$2:$B$151, MATCH(C423, Products_Catalog!$A$2:$A$151, 0))</f>
        <v/>
      </c>
      <c r="P423" s="13">
        <f>INDEX(Products_Catalog!$D$2:$D$151, MATCH(C423, Products_Catalog!$A$2:$A$151, 0))</f>
        <v/>
      </c>
      <c r="Q423" s="13">
        <f>I423-J423</f>
        <v/>
      </c>
      <c r="R423" s="15">
        <f>IF(K423&gt;20, "BREACH", "OK")</f>
        <v/>
      </c>
    </row>
    <row r="424">
      <c r="A424" t="inlineStr">
        <is>
          <t>ORD01439</t>
        </is>
      </c>
      <c r="B424" t="inlineStr">
        <is>
          <t>CUST0011</t>
        </is>
      </c>
      <c r="C424" t="inlineStr">
        <is>
          <t>PROD106</t>
        </is>
      </c>
      <c r="D424" t="inlineStr">
        <is>
          <t>STORE031</t>
        </is>
      </c>
      <c r="E424" t="inlineStr">
        <is>
          <t>DP015</t>
        </is>
      </c>
      <c r="F424" t="inlineStr">
        <is>
          <t>2025-05-06 08:27:00</t>
        </is>
      </c>
      <c r="G424" t="inlineStr">
        <is>
          <t>2025-05-06 08:46:00</t>
        </is>
      </c>
      <c r="H424" s="14" t="n">
        <v>6</v>
      </c>
      <c r="I424" s="13" t="n">
        <v>1937.04</v>
      </c>
      <c r="J424" s="13" t="n">
        <v>132.73</v>
      </c>
      <c r="K424" s="16" t="n">
        <v>19</v>
      </c>
      <c r="L424" t="inlineStr">
        <is>
          <t>Delivered</t>
        </is>
      </c>
      <c r="M424" t="inlineStr">
        <is>
          <t>PAY04</t>
        </is>
      </c>
      <c r="N424" t="inlineStr">
        <is>
          <t>Morning</t>
        </is>
      </c>
      <c r="O424">
        <f>INDEX(Products_Catalog!$B$2:$B$151, MATCH(C424, Products_Catalog!$A$2:$A$151, 0))</f>
        <v/>
      </c>
      <c r="P424" s="13">
        <f>INDEX(Products_Catalog!$D$2:$D$151, MATCH(C424, Products_Catalog!$A$2:$A$151, 0))</f>
        <v/>
      </c>
      <c r="Q424" s="13">
        <f>I424-J424</f>
        <v/>
      </c>
      <c r="R424" s="15">
        <f>IF(K424&gt;20, "BREACH", "OK")</f>
        <v/>
      </c>
    </row>
    <row r="425">
      <c r="A425" t="inlineStr">
        <is>
          <t>ORD01440</t>
        </is>
      </c>
      <c r="B425" t="inlineStr">
        <is>
          <t>CUST0013</t>
        </is>
      </c>
      <c r="C425" t="inlineStr">
        <is>
          <t>PROD061</t>
        </is>
      </c>
      <c r="D425" t="inlineStr">
        <is>
          <t>STORE003</t>
        </is>
      </c>
      <c r="E425" t="inlineStr">
        <is>
          <t>DP050</t>
        </is>
      </c>
      <c r="F425" t="inlineStr">
        <is>
          <t>2024-09-29 10:02:00</t>
        </is>
      </c>
      <c r="G425" t="inlineStr">
        <is>
          <t>2024-09-29 10:12:00</t>
        </is>
      </c>
      <c r="H425" s="14" t="n">
        <v>6</v>
      </c>
      <c r="I425" s="13" t="n">
        <v>1267.86</v>
      </c>
      <c r="J425" s="13" t="n">
        <v>254.15</v>
      </c>
      <c r="K425" s="16" t="n">
        <v>10</v>
      </c>
      <c r="L425" t="inlineStr">
        <is>
          <t>Cancelled</t>
        </is>
      </c>
      <c r="M425" t="inlineStr">
        <is>
          <t>PAY02</t>
        </is>
      </c>
      <c r="N425" t="inlineStr">
        <is>
          <t>Morning</t>
        </is>
      </c>
      <c r="O425">
        <f>INDEX(Products_Catalog!$B$2:$B$151, MATCH(C425, Products_Catalog!$A$2:$A$151, 0))</f>
        <v/>
      </c>
      <c r="P425" s="13">
        <f>INDEX(Products_Catalog!$D$2:$D$151, MATCH(C425, Products_Catalog!$A$2:$A$151, 0))</f>
        <v/>
      </c>
      <c r="Q425" s="13">
        <f>I425-J425</f>
        <v/>
      </c>
      <c r="R425" s="15">
        <f>IF(K425&gt;20, "BREACH", "OK")</f>
        <v/>
      </c>
    </row>
    <row r="426">
      <c r="A426" t="inlineStr">
        <is>
          <t>ORD01441</t>
        </is>
      </c>
      <c r="B426" t="inlineStr">
        <is>
          <t>CUST0040</t>
        </is>
      </c>
      <c r="C426" t="inlineStr">
        <is>
          <t>PROD029</t>
        </is>
      </c>
      <c r="D426" t="inlineStr">
        <is>
          <t>STORE005</t>
        </is>
      </c>
      <c r="E426" t="inlineStr">
        <is>
          <t>DP045</t>
        </is>
      </c>
      <c r="F426" t="inlineStr">
        <is>
          <t>2024-02-15 09:54:00</t>
        </is>
      </c>
      <c r="G426" t="inlineStr">
        <is>
          <t>2024-02-15 10:05:00</t>
        </is>
      </c>
      <c r="H426" s="14" t="n">
        <v>8</v>
      </c>
      <c r="I426" s="13" t="n">
        <v>1779.12</v>
      </c>
      <c r="J426" s="13" t="n">
        <v>8.94</v>
      </c>
      <c r="K426" s="16" t="n">
        <v>11</v>
      </c>
      <c r="L426" t="inlineStr">
        <is>
          <t>Pending</t>
        </is>
      </c>
      <c r="M426" t="inlineStr">
        <is>
          <t>PAY01</t>
        </is>
      </c>
      <c r="N426" t="inlineStr">
        <is>
          <t>Morning</t>
        </is>
      </c>
      <c r="O426">
        <f>INDEX(Products_Catalog!$B$2:$B$151, MATCH(C426, Products_Catalog!$A$2:$A$151, 0))</f>
        <v/>
      </c>
      <c r="P426" s="13">
        <f>INDEX(Products_Catalog!$D$2:$D$151, MATCH(C426, Products_Catalog!$A$2:$A$151, 0))</f>
        <v/>
      </c>
      <c r="Q426" s="13">
        <f>I426-J426</f>
        <v/>
      </c>
      <c r="R426" s="15">
        <f>IF(K426&gt;20, "BREACH", "OK")</f>
        <v/>
      </c>
    </row>
    <row r="427">
      <c r="A427" t="inlineStr">
        <is>
          <t>ORD01442</t>
        </is>
      </c>
      <c r="B427" t="inlineStr">
        <is>
          <t>CUST0043</t>
        </is>
      </c>
      <c r="C427" t="inlineStr">
        <is>
          <t>PROD097</t>
        </is>
      </c>
      <c r="D427" t="inlineStr">
        <is>
          <t>STORE004</t>
        </is>
      </c>
      <c r="E427" t="inlineStr">
        <is>
          <t>DP006</t>
        </is>
      </c>
      <c r="F427" t="inlineStr">
        <is>
          <t>2024-05-31 14:46:00</t>
        </is>
      </c>
      <c r="G427" t="inlineStr">
        <is>
          <t>2024-05-31 14:58:00</t>
        </is>
      </c>
      <c r="H427" s="14" t="n">
        <v>2</v>
      </c>
      <c r="I427" s="13" t="n">
        <v>182.86</v>
      </c>
      <c r="J427" s="13" t="n">
        <v>19.98</v>
      </c>
      <c r="K427" s="16" t="n">
        <v>12</v>
      </c>
      <c r="L427" t="inlineStr">
        <is>
          <t>Pending</t>
        </is>
      </c>
      <c r="M427" t="inlineStr">
        <is>
          <t>PAY03</t>
        </is>
      </c>
      <c r="N427" t="inlineStr">
        <is>
          <t>Afternoon</t>
        </is>
      </c>
      <c r="O427">
        <f>INDEX(Products_Catalog!$B$2:$B$151, MATCH(C427, Products_Catalog!$A$2:$A$151, 0))</f>
        <v/>
      </c>
      <c r="P427" s="13">
        <f>INDEX(Products_Catalog!$D$2:$D$151, MATCH(C427, Products_Catalog!$A$2:$A$151, 0))</f>
        <v/>
      </c>
      <c r="Q427" s="13">
        <f>I427-J427</f>
        <v/>
      </c>
      <c r="R427" s="15">
        <f>IF(K427&gt;20, "BREACH", "OK")</f>
        <v/>
      </c>
    </row>
    <row r="428">
      <c r="A428" t="inlineStr">
        <is>
          <t>ORD01444</t>
        </is>
      </c>
      <c r="B428" t="inlineStr">
        <is>
          <t>CUST0027</t>
        </is>
      </c>
      <c r="C428" t="inlineStr">
        <is>
          <t>PROD096</t>
        </is>
      </c>
      <c r="D428" t="inlineStr">
        <is>
          <t>STORE025</t>
        </is>
      </c>
      <c r="E428" t="inlineStr">
        <is>
          <t>DP043</t>
        </is>
      </c>
      <c r="F428" t="inlineStr">
        <is>
          <t>2024-02-11 09:52:00</t>
        </is>
      </c>
      <c r="G428" t="inlineStr">
        <is>
          <t>2024-02-11 10:06:00</t>
        </is>
      </c>
      <c r="H428" s="14" t="n">
        <v>9</v>
      </c>
      <c r="I428" s="13" t="n">
        <v>956.97</v>
      </c>
      <c r="J428" s="13" t="n">
        <v>252.23</v>
      </c>
      <c r="K428" s="16" t="n">
        <v>14</v>
      </c>
      <c r="L428" t="inlineStr">
        <is>
          <t>Pending</t>
        </is>
      </c>
      <c r="M428" t="inlineStr">
        <is>
          <t>PAY01</t>
        </is>
      </c>
      <c r="N428" t="inlineStr">
        <is>
          <t>Morning</t>
        </is>
      </c>
      <c r="O428">
        <f>INDEX(Products_Catalog!$B$2:$B$151, MATCH(C428, Products_Catalog!$A$2:$A$151, 0))</f>
        <v/>
      </c>
      <c r="P428" s="13">
        <f>INDEX(Products_Catalog!$D$2:$D$151, MATCH(C428, Products_Catalog!$A$2:$A$151, 0))</f>
        <v/>
      </c>
      <c r="Q428" s="13">
        <f>I428-J428</f>
        <v/>
      </c>
      <c r="R428" s="15">
        <f>IF(K428&gt;20, "BREACH", "OK")</f>
        <v/>
      </c>
    </row>
    <row r="429">
      <c r="A429" t="inlineStr">
        <is>
          <t>ORD01446</t>
        </is>
      </c>
      <c r="B429" t="inlineStr">
        <is>
          <t>CUST0025</t>
        </is>
      </c>
      <c r="C429" t="inlineStr">
        <is>
          <t>PROD072</t>
        </is>
      </c>
      <c r="D429" t="inlineStr">
        <is>
          <t>STORE024</t>
        </is>
      </c>
      <c r="E429" t="inlineStr">
        <is>
          <t>DP019</t>
        </is>
      </c>
      <c r="F429" t="inlineStr">
        <is>
          <t>2024-01-22 13:01:00</t>
        </is>
      </c>
      <c r="G429" t="inlineStr">
        <is>
          <t>2024-01-22 13:17:00</t>
        </is>
      </c>
      <c r="H429" s="14" t="n">
        <v>3</v>
      </c>
      <c r="I429" s="13" t="n">
        <v>795.99</v>
      </c>
      <c r="J429" s="13" t="n">
        <v>14.16</v>
      </c>
      <c r="K429" s="16" t="n">
        <v>16</v>
      </c>
      <c r="L429" t="inlineStr">
        <is>
          <t>Returned</t>
        </is>
      </c>
      <c r="M429" t="inlineStr">
        <is>
          <t>PAY02</t>
        </is>
      </c>
      <c r="N429" t="inlineStr">
        <is>
          <t>Afternoon</t>
        </is>
      </c>
      <c r="O429">
        <f>INDEX(Products_Catalog!$B$2:$B$151, MATCH(C429, Products_Catalog!$A$2:$A$151, 0))</f>
        <v/>
      </c>
      <c r="P429" s="13">
        <f>INDEX(Products_Catalog!$D$2:$D$151, MATCH(C429, Products_Catalog!$A$2:$A$151, 0))</f>
        <v/>
      </c>
      <c r="Q429" s="13">
        <f>I429-J429</f>
        <v/>
      </c>
      <c r="R429" s="15">
        <f>IF(K429&gt;20, "BREACH", "OK")</f>
        <v/>
      </c>
    </row>
    <row r="430">
      <c r="A430" t="inlineStr">
        <is>
          <t>ORD01447</t>
        </is>
      </c>
      <c r="B430" t="inlineStr">
        <is>
          <t>CUST0002</t>
        </is>
      </c>
      <c r="C430" t="inlineStr">
        <is>
          <t>PROD017</t>
        </is>
      </c>
      <c r="D430" t="inlineStr">
        <is>
          <t>STORE022</t>
        </is>
      </c>
      <c r="E430" t="inlineStr">
        <is>
          <t>DP039</t>
        </is>
      </c>
      <c r="F430" t="inlineStr">
        <is>
          <t>2025-06-22 19:13:00</t>
        </is>
      </c>
      <c r="G430" t="inlineStr">
        <is>
          <t>2025-06-22 19:30:00</t>
        </is>
      </c>
      <c r="H430" s="14" t="n">
        <v>5</v>
      </c>
      <c r="I430" s="13" t="n">
        <v>2488.5</v>
      </c>
      <c r="J430" s="13" t="n">
        <v>115.29</v>
      </c>
      <c r="K430" s="16" t="n">
        <v>17</v>
      </c>
      <c r="L430" t="inlineStr">
        <is>
          <t>Pending</t>
        </is>
      </c>
      <c r="M430" t="inlineStr">
        <is>
          <t>PAY04</t>
        </is>
      </c>
      <c r="N430" t="inlineStr">
        <is>
          <t>Evening</t>
        </is>
      </c>
      <c r="O430">
        <f>INDEX(Products_Catalog!$B$2:$B$151, MATCH(C430, Products_Catalog!$A$2:$A$151, 0))</f>
        <v/>
      </c>
      <c r="P430" s="13">
        <f>INDEX(Products_Catalog!$D$2:$D$151, MATCH(C430, Products_Catalog!$A$2:$A$151, 0))</f>
        <v/>
      </c>
      <c r="Q430" s="13">
        <f>I430-J430</f>
        <v/>
      </c>
      <c r="R430" s="15">
        <f>IF(K430&gt;20, "BREACH", "OK")</f>
        <v/>
      </c>
    </row>
    <row r="431">
      <c r="A431" t="inlineStr">
        <is>
          <t>ORD01448</t>
        </is>
      </c>
      <c r="B431" t="inlineStr">
        <is>
          <t>CUST0040</t>
        </is>
      </c>
      <c r="C431" t="inlineStr">
        <is>
          <t>PROD129</t>
        </is>
      </c>
      <c r="D431" t="inlineStr">
        <is>
          <t>STORE018</t>
        </is>
      </c>
      <c r="E431" t="inlineStr">
        <is>
          <t>DP005</t>
        </is>
      </c>
      <c r="F431" t="inlineStr">
        <is>
          <t>2024-06-22 11:18:00</t>
        </is>
      </c>
      <c r="G431" t="inlineStr">
        <is>
          <t>2024-06-22 11:36:00</t>
        </is>
      </c>
      <c r="H431" s="14" t="n">
        <v>9</v>
      </c>
      <c r="I431" s="13" t="n">
        <v>2748.24</v>
      </c>
      <c r="J431" s="13" t="n">
        <v>659.53</v>
      </c>
      <c r="K431" s="16" t="n">
        <v>18</v>
      </c>
      <c r="L431" t="inlineStr">
        <is>
          <t>Shipped</t>
        </is>
      </c>
      <c r="M431" t="inlineStr">
        <is>
          <t>PAY02</t>
        </is>
      </c>
      <c r="N431" t="inlineStr">
        <is>
          <t>Morning</t>
        </is>
      </c>
      <c r="O431">
        <f>INDEX(Products_Catalog!$B$2:$B$151, MATCH(C431, Products_Catalog!$A$2:$A$151, 0))</f>
        <v/>
      </c>
      <c r="P431" s="13">
        <f>INDEX(Products_Catalog!$D$2:$D$151, MATCH(C431, Products_Catalog!$A$2:$A$151, 0))</f>
        <v/>
      </c>
      <c r="Q431" s="13">
        <f>I431-J431</f>
        <v/>
      </c>
      <c r="R431" s="15">
        <f>IF(K431&gt;20, "BREACH", "OK")</f>
        <v/>
      </c>
    </row>
    <row r="432">
      <c r="A432" t="inlineStr">
        <is>
          <t>ORD01449</t>
        </is>
      </c>
      <c r="B432" t="inlineStr">
        <is>
          <t>CUST0017</t>
        </is>
      </c>
      <c r="C432" t="inlineStr">
        <is>
          <t>PROD096</t>
        </is>
      </c>
      <c r="D432" t="inlineStr">
        <is>
          <t>STORE029</t>
        </is>
      </c>
      <c r="E432" t="inlineStr">
        <is>
          <t>DP003</t>
        </is>
      </c>
      <c r="F432" t="inlineStr">
        <is>
          <t>2024-11-17 11:39:00</t>
        </is>
      </c>
      <c r="G432" t="inlineStr">
        <is>
          <t>2024-11-17 11:58:00</t>
        </is>
      </c>
      <c r="H432" s="14" t="n">
        <v>8</v>
      </c>
      <c r="I432" s="13" t="n">
        <v>2877.68</v>
      </c>
      <c r="J432" s="13" t="n">
        <v>598.5</v>
      </c>
      <c r="K432" s="16" t="n">
        <v>19</v>
      </c>
      <c r="L432" t="inlineStr">
        <is>
          <t>Cancelled</t>
        </is>
      </c>
      <c r="M432" t="inlineStr">
        <is>
          <t>PAY03</t>
        </is>
      </c>
      <c r="N432" t="inlineStr">
        <is>
          <t>Morning</t>
        </is>
      </c>
      <c r="O432">
        <f>INDEX(Products_Catalog!$B$2:$B$151, MATCH(C432, Products_Catalog!$A$2:$A$151, 0))</f>
        <v/>
      </c>
      <c r="P432" s="13">
        <f>INDEX(Products_Catalog!$D$2:$D$151, MATCH(C432, Products_Catalog!$A$2:$A$151, 0))</f>
        <v/>
      </c>
      <c r="Q432" s="13">
        <f>I432-J432</f>
        <v/>
      </c>
      <c r="R432" s="15">
        <f>IF(K432&gt;20, "BREACH", "OK")</f>
        <v/>
      </c>
    </row>
    <row r="433">
      <c r="A433" t="inlineStr">
        <is>
          <t>ORD01451</t>
        </is>
      </c>
      <c r="B433" t="inlineStr">
        <is>
          <t>CUST0048</t>
        </is>
      </c>
      <c r="C433" t="inlineStr">
        <is>
          <t>PROD031</t>
        </is>
      </c>
      <c r="D433" t="inlineStr">
        <is>
          <t>STORE042</t>
        </is>
      </c>
      <c r="E433" t="inlineStr">
        <is>
          <t>DP032</t>
        </is>
      </c>
      <c r="F433" t="inlineStr">
        <is>
          <t>2024-08-27 16:13:00</t>
        </is>
      </c>
      <c r="G433" t="inlineStr">
        <is>
          <t>2024-08-27 16:34:00</t>
        </is>
      </c>
      <c r="H433" s="14" t="n">
        <v>2</v>
      </c>
      <c r="I433" s="13" t="n">
        <v>756.1</v>
      </c>
      <c r="J433" s="13" t="n">
        <v>161.6</v>
      </c>
      <c r="K433" s="16" t="n">
        <v>21</v>
      </c>
      <c r="L433" t="inlineStr">
        <is>
          <t>Pending</t>
        </is>
      </c>
      <c r="M433" t="inlineStr">
        <is>
          <t>PAY04</t>
        </is>
      </c>
      <c r="N433" t="inlineStr">
        <is>
          <t>Afternoon</t>
        </is>
      </c>
      <c r="O433">
        <f>INDEX(Products_Catalog!$B$2:$B$151, MATCH(C433, Products_Catalog!$A$2:$A$151, 0))</f>
        <v/>
      </c>
      <c r="P433" s="13">
        <f>INDEX(Products_Catalog!$D$2:$D$151, MATCH(C433, Products_Catalog!$A$2:$A$151, 0))</f>
        <v/>
      </c>
      <c r="Q433" s="13">
        <f>I433-J433</f>
        <v/>
      </c>
      <c r="R433" s="15">
        <f>IF(K433&gt;20, "BREACH", "OK")</f>
        <v/>
      </c>
    </row>
    <row r="434">
      <c r="A434" t="inlineStr">
        <is>
          <t>ORD01452</t>
        </is>
      </c>
      <c r="B434" t="inlineStr">
        <is>
          <t>CUST0016</t>
        </is>
      </c>
      <c r="C434" t="inlineStr">
        <is>
          <t>PROD018</t>
        </is>
      </c>
      <c r="D434" t="inlineStr">
        <is>
          <t>STORE009</t>
        </is>
      </c>
      <c r="E434" t="inlineStr">
        <is>
          <t>DP010</t>
        </is>
      </c>
      <c r="F434" t="inlineStr">
        <is>
          <t>2025-01-10 10:02:00</t>
        </is>
      </c>
      <c r="G434" t="inlineStr">
        <is>
          <t>2025-01-10 10:24:00</t>
        </is>
      </c>
      <c r="H434" s="14" t="n">
        <v>9</v>
      </c>
      <c r="I434" s="13" t="n">
        <v>1956.87</v>
      </c>
      <c r="J434" s="13" t="n">
        <v>36.58</v>
      </c>
      <c r="K434" s="16" t="n">
        <v>22</v>
      </c>
      <c r="L434" t="inlineStr">
        <is>
          <t>Cancelled</t>
        </is>
      </c>
      <c r="M434" t="inlineStr">
        <is>
          <t>PAY02</t>
        </is>
      </c>
      <c r="N434" t="inlineStr">
        <is>
          <t>Morning</t>
        </is>
      </c>
      <c r="O434">
        <f>INDEX(Products_Catalog!$B$2:$B$151, MATCH(C434, Products_Catalog!$A$2:$A$151, 0))</f>
        <v/>
      </c>
      <c r="P434" s="13">
        <f>INDEX(Products_Catalog!$D$2:$D$151, MATCH(C434, Products_Catalog!$A$2:$A$151, 0))</f>
        <v/>
      </c>
      <c r="Q434" s="13">
        <f>I434-J434</f>
        <v/>
      </c>
      <c r="R434" s="15">
        <f>IF(K434&gt;20, "BREACH", "OK")</f>
        <v/>
      </c>
    </row>
    <row r="435">
      <c r="A435" t="inlineStr">
        <is>
          <t>ORD01453</t>
        </is>
      </c>
      <c r="B435" t="inlineStr">
        <is>
          <t>CUST0018</t>
        </is>
      </c>
      <c r="C435" t="inlineStr">
        <is>
          <t>PROD097</t>
        </is>
      </c>
      <c r="D435" t="inlineStr">
        <is>
          <t>STORE048</t>
        </is>
      </c>
      <c r="E435" t="inlineStr">
        <is>
          <t>DP009</t>
        </is>
      </c>
      <c r="F435" t="inlineStr">
        <is>
          <t>2024-08-28 10:59:00</t>
        </is>
      </c>
      <c r="G435" t="inlineStr">
        <is>
          <t>2024-08-28 11:23:00</t>
        </is>
      </c>
      <c r="H435" s="14" t="n">
        <v>5</v>
      </c>
      <c r="I435" s="13" t="n">
        <v>631.25</v>
      </c>
      <c r="J435" s="13" t="n">
        <v>121.92</v>
      </c>
      <c r="K435" s="16" t="n">
        <v>24</v>
      </c>
      <c r="L435" t="inlineStr">
        <is>
          <t>Shipped</t>
        </is>
      </c>
      <c r="M435" t="inlineStr">
        <is>
          <t>PAY03</t>
        </is>
      </c>
      <c r="N435" t="inlineStr">
        <is>
          <t>Morning</t>
        </is>
      </c>
      <c r="O435">
        <f>INDEX(Products_Catalog!$B$2:$B$151, MATCH(C435, Products_Catalog!$A$2:$A$151, 0))</f>
        <v/>
      </c>
      <c r="P435" s="13">
        <f>INDEX(Products_Catalog!$D$2:$D$151, MATCH(C435, Products_Catalog!$A$2:$A$151, 0))</f>
        <v/>
      </c>
      <c r="Q435" s="13">
        <f>I435-J435</f>
        <v/>
      </c>
      <c r="R435" s="15">
        <f>IF(K435&gt;20, "BREACH", "OK")</f>
        <v/>
      </c>
    </row>
    <row r="436">
      <c r="A436" t="inlineStr">
        <is>
          <t>ORD01454</t>
        </is>
      </c>
      <c r="B436" t="inlineStr">
        <is>
          <t>CUST0032</t>
        </is>
      </c>
      <c r="C436" t="inlineStr">
        <is>
          <t>PROD091</t>
        </is>
      </c>
      <c r="D436" t="inlineStr">
        <is>
          <t>STORE001</t>
        </is>
      </c>
      <c r="E436" t="inlineStr">
        <is>
          <t>DP037</t>
        </is>
      </c>
      <c r="F436" t="inlineStr">
        <is>
          <t>2025-01-03 18:32:00</t>
        </is>
      </c>
      <c r="G436" t="inlineStr">
        <is>
          <t>2025-01-03 18:57:00</t>
        </is>
      </c>
      <c r="H436" s="14" t="n">
        <v>5</v>
      </c>
      <c r="I436" s="13" t="n">
        <v>254.6</v>
      </c>
      <c r="J436" s="13" t="n">
        <v>43.48</v>
      </c>
      <c r="K436" s="16" t="n">
        <v>25</v>
      </c>
      <c r="L436" t="inlineStr">
        <is>
          <t>Returned</t>
        </is>
      </c>
      <c r="M436" t="inlineStr">
        <is>
          <t>PAY04</t>
        </is>
      </c>
      <c r="N436" t="inlineStr">
        <is>
          <t>Evening</t>
        </is>
      </c>
      <c r="O436">
        <f>INDEX(Products_Catalog!$B$2:$B$151, MATCH(C436, Products_Catalog!$A$2:$A$151, 0))</f>
        <v/>
      </c>
      <c r="P436" s="13">
        <f>INDEX(Products_Catalog!$D$2:$D$151, MATCH(C436, Products_Catalog!$A$2:$A$151, 0))</f>
        <v/>
      </c>
      <c r="Q436" s="13">
        <f>I436-J436</f>
        <v/>
      </c>
      <c r="R436" s="15">
        <f>IF(K436&gt;20, "BREACH", "OK")</f>
        <v/>
      </c>
    </row>
    <row r="437">
      <c r="A437" t="inlineStr">
        <is>
          <t>ORD01455</t>
        </is>
      </c>
      <c r="B437" t="inlineStr">
        <is>
          <t>CUST0035</t>
        </is>
      </c>
      <c r="C437" t="inlineStr">
        <is>
          <t>PROD042</t>
        </is>
      </c>
      <c r="D437" t="inlineStr">
        <is>
          <t>STORE034</t>
        </is>
      </c>
      <c r="E437" t="inlineStr">
        <is>
          <t>DP005</t>
        </is>
      </c>
      <c r="F437" t="inlineStr">
        <is>
          <t>2025-01-27 14:37:00</t>
        </is>
      </c>
      <c r="G437" t="inlineStr">
        <is>
          <t>2025-01-27 15:03:00</t>
        </is>
      </c>
      <c r="H437" s="14" t="n">
        <v>8</v>
      </c>
      <c r="I437" s="13" t="n">
        <v>3788.64</v>
      </c>
      <c r="J437" s="13" t="n">
        <v>771.0700000000001</v>
      </c>
      <c r="K437" s="16" t="n">
        <v>26</v>
      </c>
      <c r="L437" t="inlineStr">
        <is>
          <t>Pending</t>
        </is>
      </c>
      <c r="M437" t="inlineStr">
        <is>
          <t>PAY05</t>
        </is>
      </c>
      <c r="N437" t="inlineStr">
        <is>
          <t>Afternoon</t>
        </is>
      </c>
      <c r="O437">
        <f>INDEX(Products_Catalog!$B$2:$B$151, MATCH(C437, Products_Catalog!$A$2:$A$151, 0))</f>
        <v/>
      </c>
      <c r="P437" s="13">
        <f>INDEX(Products_Catalog!$D$2:$D$151, MATCH(C437, Products_Catalog!$A$2:$A$151, 0))</f>
        <v/>
      </c>
      <c r="Q437" s="13">
        <f>I437-J437</f>
        <v/>
      </c>
      <c r="R437" s="15">
        <f>IF(K437&gt;20, "BREACH", "OK")</f>
        <v/>
      </c>
    </row>
    <row r="438">
      <c r="A438" t="inlineStr">
        <is>
          <t>ORD01457</t>
        </is>
      </c>
      <c r="B438" t="inlineStr">
        <is>
          <t>CUST0039</t>
        </is>
      </c>
      <c r="C438" t="inlineStr">
        <is>
          <t>PROD033</t>
        </is>
      </c>
      <c r="D438" t="inlineStr">
        <is>
          <t>STORE029</t>
        </is>
      </c>
      <c r="E438" t="inlineStr">
        <is>
          <t>DP006</t>
        </is>
      </c>
      <c r="F438" t="inlineStr">
        <is>
          <t>2024-03-01 12:26:00</t>
        </is>
      </c>
      <c r="G438" t="inlineStr">
        <is>
          <t>2024-03-01 12:54:00</t>
        </is>
      </c>
      <c r="H438" s="14" t="n">
        <v>8</v>
      </c>
      <c r="I438" s="13" t="n">
        <v>1832.16</v>
      </c>
      <c r="J438" s="13" t="n">
        <v>59.64</v>
      </c>
      <c r="K438" s="16" t="n">
        <v>28</v>
      </c>
      <c r="L438" t="inlineStr">
        <is>
          <t>Returned</t>
        </is>
      </c>
      <c r="M438" t="inlineStr">
        <is>
          <t>PAY02</t>
        </is>
      </c>
      <c r="N438" t="inlineStr">
        <is>
          <t>Afternoon</t>
        </is>
      </c>
      <c r="O438">
        <f>INDEX(Products_Catalog!$B$2:$B$151, MATCH(C438, Products_Catalog!$A$2:$A$151, 0))</f>
        <v/>
      </c>
      <c r="P438" s="13">
        <f>INDEX(Products_Catalog!$D$2:$D$151, MATCH(C438, Products_Catalog!$A$2:$A$151, 0))</f>
        <v/>
      </c>
      <c r="Q438" s="13">
        <f>I438-J438</f>
        <v/>
      </c>
      <c r="R438" s="15">
        <f>IF(K438&gt;20, "BREACH", "OK")</f>
        <v/>
      </c>
    </row>
    <row r="439">
      <c r="A439" t="inlineStr">
        <is>
          <t>ORD01458</t>
        </is>
      </c>
      <c r="B439" t="inlineStr">
        <is>
          <t>CUST0025</t>
        </is>
      </c>
      <c r="C439" t="inlineStr">
        <is>
          <t>PROD076</t>
        </is>
      </c>
      <c r="D439" t="inlineStr">
        <is>
          <t>STORE010</t>
        </is>
      </c>
      <c r="E439" t="inlineStr">
        <is>
          <t>DP043</t>
        </is>
      </c>
      <c r="F439" t="inlineStr">
        <is>
          <t>2025-04-17 16:19:00</t>
        </is>
      </c>
      <c r="G439" t="inlineStr">
        <is>
          <t>2025-04-17 16:48:00</t>
        </is>
      </c>
      <c r="H439" s="14" t="n">
        <v>9</v>
      </c>
      <c r="I439" s="13" t="n">
        <v>998.28</v>
      </c>
      <c r="J439" s="13" t="n">
        <v>93.26000000000001</v>
      </c>
      <c r="K439" s="16" t="n">
        <v>29</v>
      </c>
      <c r="L439" t="inlineStr">
        <is>
          <t>Returned</t>
        </is>
      </c>
      <c r="M439" t="inlineStr">
        <is>
          <t>PAY03</t>
        </is>
      </c>
      <c r="N439" t="inlineStr">
        <is>
          <t>Afternoon</t>
        </is>
      </c>
      <c r="O439">
        <f>INDEX(Products_Catalog!$B$2:$B$151, MATCH(C439, Products_Catalog!$A$2:$A$151, 0))</f>
        <v/>
      </c>
      <c r="P439" s="13">
        <f>INDEX(Products_Catalog!$D$2:$D$151, MATCH(C439, Products_Catalog!$A$2:$A$151, 0))</f>
        <v/>
      </c>
      <c r="Q439" s="13">
        <f>I439-J439</f>
        <v/>
      </c>
      <c r="R439" s="15">
        <f>IF(K439&gt;20, "BREACH", "OK")</f>
        <v/>
      </c>
    </row>
    <row r="440">
      <c r="A440" t="inlineStr">
        <is>
          <t>ORD01461</t>
        </is>
      </c>
      <c r="B440" t="inlineStr">
        <is>
          <t>CUST0048</t>
        </is>
      </c>
      <c r="C440" t="inlineStr">
        <is>
          <t>PROD005</t>
        </is>
      </c>
      <c r="D440" t="inlineStr">
        <is>
          <t>STORE044</t>
        </is>
      </c>
      <c r="E440" t="inlineStr">
        <is>
          <t>DP039</t>
        </is>
      </c>
      <c r="F440" t="inlineStr">
        <is>
          <t>2025-05-29 14:59:00</t>
        </is>
      </c>
      <c r="G440" t="inlineStr">
        <is>
          <t>2025-05-29 15:11:00</t>
        </is>
      </c>
      <c r="H440" s="14" t="n">
        <v>8</v>
      </c>
      <c r="I440" s="13" t="n">
        <v>2497.44</v>
      </c>
      <c r="J440" s="13" t="n">
        <v>243.11</v>
      </c>
      <c r="K440" s="16" t="n">
        <v>12</v>
      </c>
      <c r="L440" t="inlineStr">
        <is>
          <t>Returned</t>
        </is>
      </c>
      <c r="M440" t="inlineStr">
        <is>
          <t>PAY05</t>
        </is>
      </c>
      <c r="N440" t="inlineStr">
        <is>
          <t>Afternoon</t>
        </is>
      </c>
      <c r="O440">
        <f>INDEX(Products_Catalog!$B$2:$B$151, MATCH(C440, Products_Catalog!$A$2:$A$151, 0))</f>
        <v/>
      </c>
      <c r="P440" s="13">
        <f>INDEX(Products_Catalog!$D$2:$D$151, MATCH(C440, Products_Catalog!$A$2:$A$151, 0))</f>
        <v/>
      </c>
      <c r="Q440" s="13">
        <f>I440-J440</f>
        <v/>
      </c>
      <c r="R440" s="15">
        <f>IF(K440&gt;20, "BREACH", "OK")</f>
        <v/>
      </c>
    </row>
    <row r="441">
      <c r="A441" t="inlineStr">
        <is>
          <t>ORD01462</t>
        </is>
      </c>
      <c r="B441" t="inlineStr">
        <is>
          <t>CUST0017</t>
        </is>
      </c>
      <c r="C441" t="inlineStr">
        <is>
          <t>PROD064</t>
        </is>
      </c>
      <c r="D441" t="inlineStr">
        <is>
          <t>STORE011</t>
        </is>
      </c>
      <c r="E441" t="inlineStr">
        <is>
          <t>DP022</t>
        </is>
      </c>
      <c r="F441" t="inlineStr">
        <is>
          <t>2025-02-04 10:39:00</t>
        </is>
      </c>
      <c r="G441" t="inlineStr">
        <is>
          <t>2025-02-04 10:52:00</t>
        </is>
      </c>
      <c r="H441" s="14" t="n">
        <v>10</v>
      </c>
      <c r="I441" s="13" t="n">
        <v>4243.2</v>
      </c>
      <c r="J441" s="13" t="n">
        <v>942.37</v>
      </c>
      <c r="K441" s="16" t="n">
        <v>13</v>
      </c>
      <c r="L441" t="inlineStr">
        <is>
          <t>Delivered</t>
        </is>
      </c>
      <c r="M441" t="inlineStr">
        <is>
          <t>PAY05</t>
        </is>
      </c>
      <c r="N441" t="inlineStr">
        <is>
          <t>Morning</t>
        </is>
      </c>
      <c r="O441">
        <f>INDEX(Products_Catalog!$B$2:$B$151, MATCH(C441, Products_Catalog!$A$2:$A$151, 0))</f>
        <v/>
      </c>
      <c r="P441" s="13">
        <f>INDEX(Products_Catalog!$D$2:$D$151, MATCH(C441, Products_Catalog!$A$2:$A$151, 0))</f>
        <v/>
      </c>
      <c r="Q441" s="13">
        <f>I441-J441</f>
        <v/>
      </c>
      <c r="R441" s="15">
        <f>IF(K441&gt;20, "BREACH", "OK")</f>
        <v/>
      </c>
    </row>
    <row r="442">
      <c r="A442" t="inlineStr">
        <is>
          <t>ORD01463</t>
        </is>
      </c>
      <c r="B442" t="inlineStr">
        <is>
          <t>CUST0023</t>
        </is>
      </c>
      <c r="C442" t="inlineStr">
        <is>
          <t>PROD057</t>
        </is>
      </c>
      <c r="D442" t="inlineStr">
        <is>
          <t>STORE013</t>
        </is>
      </c>
      <c r="E442" t="inlineStr">
        <is>
          <t>DP019</t>
        </is>
      </c>
      <c r="F442" t="inlineStr">
        <is>
          <t>2025-01-13 13:06:00</t>
        </is>
      </c>
      <c r="G442" t="inlineStr">
        <is>
          <t>2025-01-13 13:20:00</t>
        </is>
      </c>
      <c r="H442" s="14" t="n">
        <v>8</v>
      </c>
      <c r="I442" s="13" t="n">
        <v>2766.08</v>
      </c>
      <c r="J442" s="13" t="n">
        <v>49.07</v>
      </c>
      <c r="K442" s="16" t="n">
        <v>14</v>
      </c>
      <c r="L442" t="inlineStr">
        <is>
          <t>Pending</t>
        </is>
      </c>
      <c r="M442" t="inlineStr">
        <is>
          <t>PAY04</t>
        </is>
      </c>
      <c r="N442" t="inlineStr">
        <is>
          <t>Afternoon</t>
        </is>
      </c>
      <c r="O442">
        <f>INDEX(Products_Catalog!$B$2:$B$151, MATCH(C442, Products_Catalog!$A$2:$A$151, 0))</f>
        <v/>
      </c>
      <c r="P442" s="13">
        <f>INDEX(Products_Catalog!$D$2:$D$151, MATCH(C442, Products_Catalog!$A$2:$A$151, 0))</f>
        <v/>
      </c>
      <c r="Q442" s="13">
        <f>I442-J442</f>
        <v/>
      </c>
      <c r="R442" s="15">
        <f>IF(K442&gt;20, "BREACH", "OK")</f>
        <v/>
      </c>
    </row>
    <row r="443">
      <c r="A443" t="inlineStr">
        <is>
          <t>ORD01464</t>
        </is>
      </c>
      <c r="B443" t="inlineStr">
        <is>
          <t>CUST0032</t>
        </is>
      </c>
      <c r="C443" t="inlineStr">
        <is>
          <t>PROD011</t>
        </is>
      </c>
      <c r="D443" t="inlineStr">
        <is>
          <t>STORE017</t>
        </is>
      </c>
      <c r="E443" t="inlineStr">
        <is>
          <t>DP008</t>
        </is>
      </c>
      <c r="F443" t="inlineStr">
        <is>
          <t>2024-03-31 12:09:00</t>
        </is>
      </c>
      <c r="G443" t="inlineStr">
        <is>
          <t>2024-03-31 12:24:00</t>
        </is>
      </c>
      <c r="H443" s="14" t="n">
        <v>8</v>
      </c>
      <c r="I443" s="13" t="n">
        <v>1367.04</v>
      </c>
      <c r="J443" s="13" t="n">
        <v>291.26</v>
      </c>
      <c r="K443" s="16" t="n">
        <v>15</v>
      </c>
      <c r="L443" t="inlineStr">
        <is>
          <t>Shipped</t>
        </is>
      </c>
      <c r="M443" t="inlineStr">
        <is>
          <t>PAY05</t>
        </is>
      </c>
      <c r="N443" t="inlineStr">
        <is>
          <t>Afternoon</t>
        </is>
      </c>
      <c r="O443">
        <f>INDEX(Products_Catalog!$B$2:$B$151, MATCH(C443, Products_Catalog!$A$2:$A$151, 0))</f>
        <v/>
      </c>
      <c r="P443" s="13">
        <f>INDEX(Products_Catalog!$D$2:$D$151, MATCH(C443, Products_Catalog!$A$2:$A$151, 0))</f>
        <v/>
      </c>
      <c r="Q443" s="13">
        <f>I443-J443</f>
        <v/>
      </c>
      <c r="R443" s="15">
        <f>IF(K443&gt;20, "BREACH", "OK")</f>
        <v/>
      </c>
    </row>
    <row r="444">
      <c r="A444" t="inlineStr">
        <is>
          <t>ORD01465</t>
        </is>
      </c>
      <c r="B444" t="inlineStr">
        <is>
          <t>CUST0029</t>
        </is>
      </c>
      <c r="C444" t="inlineStr">
        <is>
          <t>PROD123</t>
        </is>
      </c>
      <c r="D444" t="inlineStr">
        <is>
          <t>STORE020</t>
        </is>
      </c>
      <c r="E444" t="inlineStr">
        <is>
          <t>DP042</t>
        </is>
      </c>
      <c r="F444" t="inlineStr">
        <is>
          <t>2024-07-15 10:15:00</t>
        </is>
      </c>
      <c r="G444" t="inlineStr">
        <is>
          <t>2024-07-15 10:31:00</t>
        </is>
      </c>
      <c r="H444" s="14" t="n">
        <v>2</v>
      </c>
      <c r="I444" s="13" t="n">
        <v>740</v>
      </c>
      <c r="J444" s="13" t="n">
        <v>158.36</v>
      </c>
      <c r="K444" s="16" t="n">
        <v>16</v>
      </c>
      <c r="L444" t="inlineStr">
        <is>
          <t>Pending</t>
        </is>
      </c>
      <c r="M444" t="inlineStr">
        <is>
          <t>PAY01</t>
        </is>
      </c>
      <c r="N444" t="inlineStr">
        <is>
          <t>Morning</t>
        </is>
      </c>
      <c r="O444">
        <f>INDEX(Products_Catalog!$B$2:$B$151, MATCH(C444, Products_Catalog!$A$2:$A$151, 0))</f>
        <v/>
      </c>
      <c r="P444" s="13">
        <f>INDEX(Products_Catalog!$D$2:$D$151, MATCH(C444, Products_Catalog!$A$2:$A$151, 0))</f>
        <v/>
      </c>
      <c r="Q444" s="13">
        <f>I444-J444</f>
        <v/>
      </c>
      <c r="R444" s="15">
        <f>IF(K444&gt;20, "BREACH", "OK")</f>
        <v/>
      </c>
    </row>
    <row r="445">
      <c r="A445" t="inlineStr">
        <is>
          <t>ORD01466</t>
        </is>
      </c>
      <c r="B445" t="inlineStr">
        <is>
          <t>CUST0018</t>
        </is>
      </c>
      <c r="C445" t="inlineStr">
        <is>
          <t>PROD004</t>
        </is>
      </c>
      <c r="D445" t="inlineStr">
        <is>
          <t>STORE022</t>
        </is>
      </c>
      <c r="E445" t="inlineStr">
        <is>
          <t>DP035</t>
        </is>
      </c>
      <c r="F445" t="inlineStr">
        <is>
          <t>2025-02-14 15:00:00</t>
        </is>
      </c>
      <c r="G445" t="inlineStr">
        <is>
          <t>2025-02-14 15:17:00</t>
        </is>
      </c>
      <c r="H445" s="14" t="n">
        <v>3</v>
      </c>
      <c r="I445" s="13" t="n">
        <v>950.97</v>
      </c>
      <c r="J445" s="13" t="n">
        <v>77.12</v>
      </c>
      <c r="K445" s="16" t="n">
        <v>17</v>
      </c>
      <c r="L445" t="inlineStr">
        <is>
          <t>Cancelled</t>
        </is>
      </c>
      <c r="M445" t="inlineStr">
        <is>
          <t>PAY01</t>
        </is>
      </c>
      <c r="N445" t="inlineStr">
        <is>
          <t>Afternoon</t>
        </is>
      </c>
      <c r="O445">
        <f>INDEX(Products_Catalog!$B$2:$B$151, MATCH(C445, Products_Catalog!$A$2:$A$151, 0))</f>
        <v/>
      </c>
      <c r="P445" s="13">
        <f>INDEX(Products_Catalog!$D$2:$D$151, MATCH(C445, Products_Catalog!$A$2:$A$151, 0))</f>
        <v/>
      </c>
      <c r="Q445" s="13">
        <f>I445-J445</f>
        <v/>
      </c>
      <c r="R445" s="15">
        <f>IF(K445&gt;20, "BREACH", "OK")</f>
        <v/>
      </c>
    </row>
    <row r="446">
      <c r="A446" t="inlineStr">
        <is>
          <t>ORD01469</t>
        </is>
      </c>
      <c r="B446" t="inlineStr">
        <is>
          <t>CUST0038</t>
        </is>
      </c>
      <c r="C446" t="inlineStr">
        <is>
          <t>PROD015</t>
        </is>
      </c>
      <c r="D446" t="inlineStr">
        <is>
          <t>STORE006</t>
        </is>
      </c>
      <c r="E446" t="inlineStr">
        <is>
          <t>DP039</t>
        </is>
      </c>
      <c r="F446" t="inlineStr">
        <is>
          <t>2024-08-18 09:44:00</t>
        </is>
      </c>
      <c r="G446" t="inlineStr">
        <is>
          <t>2024-08-18 10:04:00</t>
        </is>
      </c>
      <c r="H446" s="14" t="n">
        <v>1</v>
      </c>
      <c r="I446" s="13" t="n">
        <v>282.52</v>
      </c>
      <c r="J446" s="13" t="n">
        <v>83.52</v>
      </c>
      <c r="K446" s="16" t="n">
        <v>20</v>
      </c>
      <c r="L446" t="inlineStr">
        <is>
          <t>Shipped</t>
        </is>
      </c>
      <c r="M446" t="inlineStr">
        <is>
          <t>PAY03</t>
        </is>
      </c>
      <c r="N446" t="inlineStr">
        <is>
          <t>Morning</t>
        </is>
      </c>
      <c r="O446">
        <f>INDEX(Products_Catalog!$B$2:$B$151, MATCH(C446, Products_Catalog!$A$2:$A$151, 0))</f>
        <v/>
      </c>
      <c r="P446" s="13">
        <f>INDEX(Products_Catalog!$D$2:$D$151, MATCH(C446, Products_Catalog!$A$2:$A$151, 0))</f>
        <v/>
      </c>
      <c r="Q446" s="13">
        <f>I446-J446</f>
        <v/>
      </c>
      <c r="R446" s="15">
        <f>IF(K446&gt;20, "BREACH", "OK")</f>
        <v/>
      </c>
    </row>
    <row r="447">
      <c r="A447" t="inlineStr">
        <is>
          <t>ORD01470</t>
        </is>
      </c>
      <c r="B447" t="inlineStr">
        <is>
          <t>CUST0010</t>
        </is>
      </c>
      <c r="C447" t="inlineStr">
        <is>
          <t>PROD138</t>
        </is>
      </c>
      <c r="D447" t="inlineStr">
        <is>
          <t>STORE019</t>
        </is>
      </c>
      <c r="E447" t="inlineStr">
        <is>
          <t>DP049</t>
        </is>
      </c>
      <c r="F447" t="inlineStr">
        <is>
          <t>2025-06-13 09:12:00</t>
        </is>
      </c>
      <c r="G447" t="inlineStr">
        <is>
          <t>2025-06-13 09:33:00</t>
        </is>
      </c>
      <c r="H447" s="14" t="n">
        <v>9</v>
      </c>
      <c r="I447" s="13" t="n">
        <v>1157.13</v>
      </c>
      <c r="J447" s="13" t="n">
        <v>18.53</v>
      </c>
      <c r="K447" s="16" t="n">
        <v>21</v>
      </c>
      <c r="L447" t="inlineStr">
        <is>
          <t>Shipped</t>
        </is>
      </c>
      <c r="M447" t="inlineStr">
        <is>
          <t>PAY05</t>
        </is>
      </c>
      <c r="N447" t="inlineStr">
        <is>
          <t>Morning</t>
        </is>
      </c>
      <c r="O447">
        <f>INDEX(Products_Catalog!$B$2:$B$151, MATCH(C447, Products_Catalog!$A$2:$A$151, 0))</f>
        <v/>
      </c>
      <c r="P447" s="13">
        <f>INDEX(Products_Catalog!$D$2:$D$151, MATCH(C447, Products_Catalog!$A$2:$A$151, 0))</f>
        <v/>
      </c>
      <c r="Q447" s="13">
        <f>I447-J447</f>
        <v/>
      </c>
      <c r="R447" s="15">
        <f>IF(K447&gt;20, "BREACH", "OK")</f>
        <v/>
      </c>
    </row>
    <row r="448">
      <c r="A448" t="inlineStr">
        <is>
          <t>ORD01471</t>
        </is>
      </c>
      <c r="B448" t="inlineStr">
        <is>
          <t>CUST0026</t>
        </is>
      </c>
      <c r="C448" t="inlineStr">
        <is>
          <t>PROD129</t>
        </is>
      </c>
      <c r="D448" t="inlineStr">
        <is>
          <t>STORE043</t>
        </is>
      </c>
      <c r="E448" t="inlineStr">
        <is>
          <t>DP027</t>
        </is>
      </c>
      <c r="F448" t="inlineStr">
        <is>
          <t>2025-06-18 19:34:00</t>
        </is>
      </c>
      <c r="G448" t="inlineStr">
        <is>
          <t>2025-06-18 19:56:00</t>
        </is>
      </c>
      <c r="H448" s="14" t="n">
        <v>8</v>
      </c>
      <c r="I448" s="13" t="n">
        <v>1986.4</v>
      </c>
      <c r="J448" s="13" t="n">
        <v>46.64</v>
      </c>
      <c r="K448" s="16" t="n">
        <v>22</v>
      </c>
      <c r="L448" t="inlineStr">
        <is>
          <t>Delivered</t>
        </is>
      </c>
      <c r="M448" t="inlineStr">
        <is>
          <t>PAY01</t>
        </is>
      </c>
      <c r="N448" t="inlineStr">
        <is>
          <t>Evening</t>
        </is>
      </c>
      <c r="O448">
        <f>INDEX(Products_Catalog!$B$2:$B$151, MATCH(C448, Products_Catalog!$A$2:$A$151, 0))</f>
        <v/>
      </c>
      <c r="P448" s="13">
        <f>INDEX(Products_Catalog!$D$2:$D$151, MATCH(C448, Products_Catalog!$A$2:$A$151, 0))</f>
        <v/>
      </c>
      <c r="Q448" s="13">
        <f>I448-J448</f>
        <v/>
      </c>
      <c r="R448" s="15">
        <f>IF(K448&gt;20, "BREACH", "OK")</f>
        <v/>
      </c>
    </row>
    <row r="449">
      <c r="A449" t="inlineStr">
        <is>
          <t>ORD01472</t>
        </is>
      </c>
      <c r="B449" t="inlineStr">
        <is>
          <t>CUST0001</t>
        </is>
      </c>
      <c r="C449" t="inlineStr">
        <is>
          <t>PROD094</t>
        </is>
      </c>
      <c r="D449" t="inlineStr">
        <is>
          <t>STORE015</t>
        </is>
      </c>
      <c r="E449" t="inlineStr">
        <is>
          <t>DP041</t>
        </is>
      </c>
      <c r="F449" t="inlineStr">
        <is>
          <t>2024-02-10 12:53:00</t>
        </is>
      </c>
      <c r="G449" t="inlineStr">
        <is>
          <t>2024-02-10 13:16:00</t>
        </is>
      </c>
      <c r="H449" s="14" t="n">
        <v>1</v>
      </c>
      <c r="I449" s="13" t="n">
        <v>251.41</v>
      </c>
      <c r="J449" s="13" t="n">
        <v>75.12</v>
      </c>
      <c r="K449" s="16" t="n">
        <v>23</v>
      </c>
      <c r="L449" t="inlineStr">
        <is>
          <t>Cancelled</t>
        </is>
      </c>
      <c r="M449" t="inlineStr">
        <is>
          <t>PAY03</t>
        </is>
      </c>
      <c r="N449" t="inlineStr">
        <is>
          <t>Afternoon</t>
        </is>
      </c>
      <c r="O449">
        <f>INDEX(Products_Catalog!$B$2:$B$151, MATCH(C449, Products_Catalog!$A$2:$A$151, 0))</f>
        <v/>
      </c>
      <c r="P449" s="13">
        <f>INDEX(Products_Catalog!$D$2:$D$151, MATCH(C449, Products_Catalog!$A$2:$A$151, 0))</f>
        <v/>
      </c>
      <c r="Q449" s="13">
        <f>I449-J449</f>
        <v/>
      </c>
      <c r="R449" s="15">
        <f>IF(K449&gt;20, "BREACH", "OK")</f>
        <v/>
      </c>
    </row>
    <row r="450">
      <c r="A450" t="inlineStr">
        <is>
          <t>ORD01473</t>
        </is>
      </c>
      <c r="B450" t="inlineStr">
        <is>
          <t>CUST0037</t>
        </is>
      </c>
      <c r="C450" t="inlineStr">
        <is>
          <t>PROD108</t>
        </is>
      </c>
      <c r="D450" t="inlineStr">
        <is>
          <t>STORE031</t>
        </is>
      </c>
      <c r="E450" t="inlineStr">
        <is>
          <t>DP036</t>
        </is>
      </c>
      <c r="F450" t="inlineStr">
        <is>
          <t>2025-01-15 19:09:00</t>
        </is>
      </c>
      <c r="G450" t="inlineStr">
        <is>
          <t>2025-01-15 19:33:00</t>
        </is>
      </c>
      <c r="H450" s="14" t="n">
        <v>4</v>
      </c>
      <c r="I450" s="13" t="n">
        <v>442.2</v>
      </c>
      <c r="J450" s="13" t="n">
        <v>66.09999999999999</v>
      </c>
      <c r="K450" s="16" t="n">
        <v>24</v>
      </c>
      <c r="L450" t="inlineStr">
        <is>
          <t>Shipped</t>
        </is>
      </c>
      <c r="M450" t="inlineStr">
        <is>
          <t>PAY02</t>
        </is>
      </c>
      <c r="N450" t="inlineStr">
        <is>
          <t>Evening</t>
        </is>
      </c>
      <c r="O450">
        <f>INDEX(Products_Catalog!$B$2:$B$151, MATCH(C450, Products_Catalog!$A$2:$A$151, 0))</f>
        <v/>
      </c>
      <c r="P450" s="13">
        <f>INDEX(Products_Catalog!$D$2:$D$151, MATCH(C450, Products_Catalog!$A$2:$A$151, 0))</f>
        <v/>
      </c>
      <c r="Q450" s="13">
        <f>I450-J450</f>
        <v/>
      </c>
      <c r="R450" s="15">
        <f>IF(K450&gt;20, "BREACH", "OK")</f>
        <v/>
      </c>
    </row>
    <row r="451">
      <c r="A451" t="inlineStr">
        <is>
          <t>ORD01474</t>
        </is>
      </c>
      <c r="B451" t="inlineStr">
        <is>
          <t>CUST0003</t>
        </is>
      </c>
      <c r="C451" t="inlineStr">
        <is>
          <t>PROD066</t>
        </is>
      </c>
      <c r="D451" t="inlineStr">
        <is>
          <t>STORE035</t>
        </is>
      </c>
      <c r="E451" t="inlineStr">
        <is>
          <t>DP040</t>
        </is>
      </c>
      <c r="F451" t="inlineStr">
        <is>
          <t>2024-04-07 12:08:00</t>
        </is>
      </c>
      <c r="G451" t="inlineStr">
        <is>
          <t>2024-04-07 12:33:00</t>
        </is>
      </c>
      <c r="H451" s="14" t="n">
        <v>4</v>
      </c>
      <c r="I451" s="13" t="n">
        <v>561.8</v>
      </c>
      <c r="J451" s="13" t="n">
        <v>48.6</v>
      </c>
      <c r="K451" s="16" t="n">
        <v>25</v>
      </c>
      <c r="L451" t="inlineStr">
        <is>
          <t>Returned</t>
        </is>
      </c>
      <c r="M451" t="inlineStr">
        <is>
          <t>PAY01</t>
        </is>
      </c>
      <c r="N451" t="inlineStr">
        <is>
          <t>Afternoon</t>
        </is>
      </c>
      <c r="O451">
        <f>INDEX(Products_Catalog!$B$2:$B$151, MATCH(C451, Products_Catalog!$A$2:$A$151, 0))</f>
        <v/>
      </c>
      <c r="P451" s="13">
        <f>INDEX(Products_Catalog!$D$2:$D$151, MATCH(C451, Products_Catalog!$A$2:$A$151, 0))</f>
        <v/>
      </c>
      <c r="Q451" s="13">
        <f>I451-J451</f>
        <v/>
      </c>
      <c r="R451" s="15">
        <f>IF(K451&gt;20, "BREACH", "OK")</f>
        <v/>
      </c>
    </row>
    <row r="452">
      <c r="A452" t="inlineStr">
        <is>
          <t>ORD01476</t>
        </is>
      </c>
      <c r="B452" t="inlineStr">
        <is>
          <t>CUST0012</t>
        </is>
      </c>
      <c r="C452" t="inlineStr">
        <is>
          <t>PROD003</t>
        </is>
      </c>
      <c r="D452" t="inlineStr">
        <is>
          <t>STORE003</t>
        </is>
      </c>
      <c r="E452" t="inlineStr">
        <is>
          <t>DP049</t>
        </is>
      </c>
      <c r="F452" t="inlineStr">
        <is>
          <t>2024-05-10 17:59:00</t>
        </is>
      </c>
      <c r="G452" t="inlineStr">
        <is>
          <t>2024-05-10 18:26:00</t>
        </is>
      </c>
      <c r="H452" s="14" t="n">
        <v>2</v>
      </c>
      <c r="I452" s="13" t="n">
        <v>616.5599999999999</v>
      </c>
      <c r="J452" s="13" t="n">
        <v>92</v>
      </c>
      <c r="K452" s="16" t="n">
        <v>27</v>
      </c>
      <c r="L452" t="inlineStr">
        <is>
          <t>Cancelled</t>
        </is>
      </c>
      <c r="M452" t="inlineStr">
        <is>
          <t>PAY02</t>
        </is>
      </c>
      <c r="N452" t="inlineStr">
        <is>
          <t>Evening</t>
        </is>
      </c>
      <c r="O452">
        <f>INDEX(Products_Catalog!$B$2:$B$151, MATCH(C452, Products_Catalog!$A$2:$A$151, 0))</f>
        <v/>
      </c>
      <c r="P452" s="13">
        <f>INDEX(Products_Catalog!$D$2:$D$151, MATCH(C452, Products_Catalog!$A$2:$A$151, 0))</f>
        <v/>
      </c>
      <c r="Q452" s="13">
        <f>I452-J452</f>
        <v/>
      </c>
      <c r="R452" s="15">
        <f>IF(K452&gt;20, "BREACH", "OK")</f>
        <v/>
      </c>
    </row>
    <row r="453">
      <c r="A453" t="inlineStr">
        <is>
          <t>ORD01477</t>
        </is>
      </c>
      <c r="B453" t="inlineStr">
        <is>
          <t>CUST0048</t>
        </is>
      </c>
      <c r="C453" t="inlineStr">
        <is>
          <t>PROD059</t>
        </is>
      </c>
      <c r="D453" t="inlineStr">
        <is>
          <t>STORE008</t>
        </is>
      </c>
      <c r="E453" t="inlineStr">
        <is>
          <t>DP002</t>
        </is>
      </c>
      <c r="F453" t="inlineStr">
        <is>
          <t>2024-09-25 19:49:00</t>
        </is>
      </c>
      <c r="G453" t="inlineStr">
        <is>
          <t>2024-09-25 20:17:00</t>
        </is>
      </c>
      <c r="H453" s="14" t="n">
        <v>5</v>
      </c>
      <c r="I453" s="13" t="n">
        <v>2239.85</v>
      </c>
      <c r="J453" s="13" t="n">
        <v>508.65</v>
      </c>
      <c r="K453" s="16" t="n">
        <v>28</v>
      </c>
      <c r="L453" t="inlineStr">
        <is>
          <t>Returned</t>
        </is>
      </c>
      <c r="M453" t="inlineStr">
        <is>
          <t>PAY04</t>
        </is>
      </c>
      <c r="N453" t="inlineStr">
        <is>
          <t>Evening</t>
        </is>
      </c>
      <c r="O453">
        <f>INDEX(Products_Catalog!$B$2:$B$151, MATCH(C453, Products_Catalog!$A$2:$A$151, 0))</f>
        <v/>
      </c>
      <c r="P453" s="13">
        <f>INDEX(Products_Catalog!$D$2:$D$151, MATCH(C453, Products_Catalog!$A$2:$A$151, 0))</f>
        <v/>
      </c>
      <c r="Q453" s="13">
        <f>I453-J453</f>
        <v/>
      </c>
      <c r="R453" s="15">
        <f>IF(K453&gt;20, "BREACH", "OK")</f>
        <v/>
      </c>
    </row>
    <row r="454">
      <c r="A454" t="inlineStr">
        <is>
          <t>ORD01478</t>
        </is>
      </c>
      <c r="B454" t="inlineStr">
        <is>
          <t>CUST0010</t>
        </is>
      </c>
      <c r="C454" t="inlineStr">
        <is>
          <t>PROD111</t>
        </is>
      </c>
      <c r="D454" t="inlineStr">
        <is>
          <t>STORE007</t>
        </is>
      </c>
      <c r="E454" t="inlineStr">
        <is>
          <t>DP033</t>
        </is>
      </c>
      <c r="F454" t="inlineStr">
        <is>
          <t>2024-03-30 14:07:00</t>
        </is>
      </c>
      <c r="G454" t="inlineStr">
        <is>
          <t>2024-03-30 14:36:00</t>
        </is>
      </c>
      <c r="H454" s="14" t="n">
        <v>6</v>
      </c>
      <c r="I454" s="13" t="n">
        <v>754.62</v>
      </c>
      <c r="J454" s="13" t="n">
        <v>143.85</v>
      </c>
      <c r="K454" s="16" t="n">
        <v>29</v>
      </c>
      <c r="L454" t="inlineStr">
        <is>
          <t>Pending</t>
        </is>
      </c>
      <c r="M454" t="inlineStr">
        <is>
          <t>PAY05</t>
        </is>
      </c>
      <c r="N454" t="inlineStr">
        <is>
          <t>Afternoon</t>
        </is>
      </c>
      <c r="O454">
        <f>INDEX(Products_Catalog!$B$2:$B$151, MATCH(C454, Products_Catalog!$A$2:$A$151, 0))</f>
        <v/>
      </c>
      <c r="P454" s="13">
        <f>INDEX(Products_Catalog!$D$2:$D$151, MATCH(C454, Products_Catalog!$A$2:$A$151, 0))</f>
        <v/>
      </c>
      <c r="Q454" s="13">
        <f>I454-J454</f>
        <v/>
      </c>
      <c r="R454" s="15">
        <f>IF(K454&gt;20, "BREACH", "OK")</f>
        <v/>
      </c>
    </row>
    <row r="455">
      <c r="A455" t="inlineStr">
        <is>
          <t>ORD01479</t>
        </is>
      </c>
      <c r="B455" t="inlineStr">
        <is>
          <t>CUST0006</t>
        </is>
      </c>
      <c r="C455" t="inlineStr">
        <is>
          <t>PROD103</t>
        </is>
      </c>
      <c r="D455" t="inlineStr">
        <is>
          <t>STORE027</t>
        </is>
      </c>
      <c r="E455" t="inlineStr">
        <is>
          <t>DP013</t>
        </is>
      </c>
      <c r="F455" t="inlineStr">
        <is>
          <t>2024-07-02 16:59:00</t>
        </is>
      </c>
      <c r="G455" t="inlineStr">
        <is>
          <t>2024-07-02 17:29:00</t>
        </is>
      </c>
      <c r="H455" s="14" t="n">
        <v>6</v>
      </c>
      <c r="I455" s="13" t="n">
        <v>314.22</v>
      </c>
      <c r="J455" s="13" t="n">
        <v>5.14</v>
      </c>
      <c r="K455" s="16" t="n">
        <v>30</v>
      </c>
      <c r="L455" t="inlineStr">
        <is>
          <t>Returned</t>
        </is>
      </c>
      <c r="M455" t="inlineStr">
        <is>
          <t>PAY01</t>
        </is>
      </c>
      <c r="N455" t="inlineStr">
        <is>
          <t>Afternoon</t>
        </is>
      </c>
      <c r="O455">
        <f>INDEX(Products_Catalog!$B$2:$B$151, MATCH(C455, Products_Catalog!$A$2:$A$151, 0))</f>
        <v/>
      </c>
      <c r="P455" s="13">
        <f>INDEX(Products_Catalog!$D$2:$D$151, MATCH(C455, Products_Catalog!$A$2:$A$151, 0))</f>
        <v/>
      </c>
      <c r="Q455" s="13">
        <f>I455-J455</f>
        <v/>
      </c>
      <c r="R455" s="15">
        <f>IF(K455&gt;20, "BREACH", "OK")</f>
        <v/>
      </c>
    </row>
    <row r="456">
      <c r="A456" t="inlineStr">
        <is>
          <t>ORD01481</t>
        </is>
      </c>
      <c r="B456" t="inlineStr">
        <is>
          <t>CUST0018</t>
        </is>
      </c>
      <c r="C456" t="inlineStr">
        <is>
          <t>PROD037</t>
        </is>
      </c>
      <c r="D456" t="inlineStr">
        <is>
          <t>STORE044</t>
        </is>
      </c>
      <c r="E456" t="inlineStr">
        <is>
          <t>DP046</t>
        </is>
      </c>
      <c r="F456" t="inlineStr">
        <is>
          <t>2025-01-23 09:37:00</t>
        </is>
      </c>
      <c r="G456" t="inlineStr">
        <is>
          <t>2025-01-23 09:48:00</t>
        </is>
      </c>
      <c r="H456" s="14" t="n">
        <v>7</v>
      </c>
      <c r="I456" s="13" t="n">
        <v>2827.02</v>
      </c>
      <c r="J456" s="13" t="n">
        <v>742.01</v>
      </c>
      <c r="K456" s="16" t="n">
        <v>11</v>
      </c>
      <c r="L456" t="inlineStr">
        <is>
          <t>Pending</t>
        </is>
      </c>
      <c r="M456" t="inlineStr">
        <is>
          <t>PAY03</t>
        </is>
      </c>
      <c r="N456" t="inlineStr">
        <is>
          <t>Morning</t>
        </is>
      </c>
      <c r="O456">
        <f>INDEX(Products_Catalog!$B$2:$B$151, MATCH(C456, Products_Catalog!$A$2:$A$151, 0))</f>
        <v/>
      </c>
      <c r="P456" s="13">
        <f>INDEX(Products_Catalog!$D$2:$D$151, MATCH(C456, Products_Catalog!$A$2:$A$151, 0))</f>
        <v/>
      </c>
      <c r="Q456" s="13">
        <f>I456-J456</f>
        <v/>
      </c>
      <c r="R456" s="15">
        <f>IF(K456&gt;20, "BREACH", "OK")</f>
        <v/>
      </c>
    </row>
    <row r="457">
      <c r="A457" t="inlineStr">
        <is>
          <t>ORD01482</t>
        </is>
      </c>
      <c r="B457" t="inlineStr">
        <is>
          <t>CUST0001</t>
        </is>
      </c>
      <c r="C457" t="inlineStr">
        <is>
          <t>PROD115</t>
        </is>
      </c>
      <c r="D457" t="inlineStr">
        <is>
          <t>STORE011</t>
        </is>
      </c>
      <c r="E457" t="inlineStr">
        <is>
          <t>DP018</t>
        </is>
      </c>
      <c r="F457" t="inlineStr">
        <is>
          <t>2025-01-25 10:45:00</t>
        </is>
      </c>
      <c r="G457" t="inlineStr">
        <is>
          <t>2025-01-25 10:57:00</t>
        </is>
      </c>
      <c r="H457" s="14" t="n">
        <v>7</v>
      </c>
      <c r="I457" s="13" t="n">
        <v>3236.94</v>
      </c>
      <c r="J457" s="13" t="n">
        <v>418.69</v>
      </c>
      <c r="K457" s="16" t="n">
        <v>12</v>
      </c>
      <c r="L457" t="inlineStr">
        <is>
          <t>Delivered</t>
        </is>
      </c>
      <c r="M457" t="inlineStr">
        <is>
          <t>PAY04</t>
        </is>
      </c>
      <c r="N457" t="inlineStr">
        <is>
          <t>Morning</t>
        </is>
      </c>
      <c r="O457">
        <f>INDEX(Products_Catalog!$B$2:$B$151, MATCH(C457, Products_Catalog!$A$2:$A$151, 0))</f>
        <v/>
      </c>
      <c r="P457" s="13">
        <f>INDEX(Products_Catalog!$D$2:$D$151, MATCH(C457, Products_Catalog!$A$2:$A$151, 0))</f>
        <v/>
      </c>
      <c r="Q457" s="13">
        <f>I457-J457</f>
        <v/>
      </c>
      <c r="R457" s="15">
        <f>IF(K457&gt;20, "BREACH", "OK")</f>
        <v/>
      </c>
    </row>
    <row r="458">
      <c r="A458" t="inlineStr">
        <is>
          <t>ORD01483</t>
        </is>
      </c>
      <c r="B458" t="inlineStr">
        <is>
          <t>CUST0029</t>
        </is>
      </c>
      <c r="C458" t="inlineStr">
        <is>
          <t>PROD124</t>
        </is>
      </c>
      <c r="D458" t="inlineStr">
        <is>
          <t>STORE012</t>
        </is>
      </c>
      <c r="E458" t="inlineStr">
        <is>
          <t>DP032</t>
        </is>
      </c>
      <c r="F458" t="inlineStr">
        <is>
          <t>2024-10-26 11:39:00</t>
        </is>
      </c>
      <c r="G458" t="inlineStr">
        <is>
          <t>2024-10-26 11:52:00</t>
        </is>
      </c>
      <c r="H458" s="14" t="n">
        <v>2</v>
      </c>
      <c r="I458" s="13" t="n">
        <v>122.36</v>
      </c>
      <c r="J458" s="13" t="n">
        <v>22.22</v>
      </c>
      <c r="K458" s="16" t="n">
        <v>13</v>
      </c>
      <c r="L458" t="inlineStr">
        <is>
          <t>Pending</t>
        </is>
      </c>
      <c r="M458" t="inlineStr">
        <is>
          <t>PAY04</t>
        </is>
      </c>
      <c r="N458" t="inlineStr">
        <is>
          <t>Morning</t>
        </is>
      </c>
      <c r="O458">
        <f>INDEX(Products_Catalog!$B$2:$B$151, MATCH(C458, Products_Catalog!$A$2:$A$151, 0))</f>
        <v/>
      </c>
      <c r="P458" s="13">
        <f>INDEX(Products_Catalog!$D$2:$D$151, MATCH(C458, Products_Catalog!$A$2:$A$151, 0))</f>
        <v/>
      </c>
      <c r="Q458" s="13">
        <f>I458-J458</f>
        <v/>
      </c>
      <c r="R458" s="15">
        <f>IF(K458&gt;20, "BREACH", "OK")</f>
        <v/>
      </c>
    </row>
    <row r="459">
      <c r="A459" t="inlineStr">
        <is>
          <t>ORD01485</t>
        </is>
      </c>
      <c r="B459" t="inlineStr">
        <is>
          <t>CUST0027</t>
        </is>
      </c>
      <c r="C459" t="inlineStr">
        <is>
          <t>PROD102</t>
        </is>
      </c>
      <c r="D459" t="inlineStr">
        <is>
          <t>STORE019</t>
        </is>
      </c>
      <c r="E459" t="inlineStr">
        <is>
          <t>DP009</t>
        </is>
      </c>
      <c r="F459" t="inlineStr">
        <is>
          <t>2025-04-03 17:39:00</t>
        </is>
      </c>
      <c r="G459" t="inlineStr">
        <is>
          <t>2025-04-03 17:54:00</t>
        </is>
      </c>
      <c r="H459" s="14" t="n">
        <v>2</v>
      </c>
      <c r="I459" s="13" t="n">
        <v>668.74</v>
      </c>
      <c r="J459" s="13" t="n">
        <v>124.76</v>
      </c>
      <c r="K459" s="16" t="n">
        <v>15</v>
      </c>
      <c r="L459" t="inlineStr">
        <is>
          <t>Delivered</t>
        </is>
      </c>
      <c r="M459" t="inlineStr">
        <is>
          <t>PAY05</t>
        </is>
      </c>
      <c r="N459" t="inlineStr">
        <is>
          <t>Evening</t>
        </is>
      </c>
      <c r="O459">
        <f>INDEX(Products_Catalog!$B$2:$B$151, MATCH(C459, Products_Catalog!$A$2:$A$151, 0))</f>
        <v/>
      </c>
      <c r="P459" s="13">
        <f>INDEX(Products_Catalog!$D$2:$D$151, MATCH(C459, Products_Catalog!$A$2:$A$151, 0))</f>
        <v/>
      </c>
      <c r="Q459" s="13">
        <f>I459-J459</f>
        <v/>
      </c>
      <c r="R459" s="15">
        <f>IF(K459&gt;20, "BREACH", "OK")</f>
        <v/>
      </c>
    </row>
    <row r="460">
      <c r="A460" t="inlineStr">
        <is>
          <t>ORD01487</t>
        </is>
      </c>
      <c r="B460" t="inlineStr">
        <is>
          <t>CUST0042</t>
        </is>
      </c>
      <c r="C460" t="inlineStr">
        <is>
          <t>PROD080</t>
        </is>
      </c>
      <c r="D460" t="inlineStr">
        <is>
          <t>STORE001</t>
        </is>
      </c>
      <c r="E460" t="inlineStr">
        <is>
          <t>DP018</t>
        </is>
      </c>
      <c r="F460" t="inlineStr">
        <is>
          <t>2024-12-05 19:29:00</t>
        </is>
      </c>
      <c r="G460" t="inlineStr">
        <is>
          <t>2024-12-05 19:46:00</t>
        </is>
      </c>
      <c r="H460" s="14" t="n">
        <v>10</v>
      </c>
      <c r="I460" s="13" t="n">
        <v>3463.7</v>
      </c>
      <c r="J460" s="13" t="n">
        <v>569.49</v>
      </c>
      <c r="K460" s="16" t="n">
        <v>17</v>
      </c>
      <c r="L460" t="inlineStr">
        <is>
          <t>Cancelled</t>
        </is>
      </c>
      <c r="M460" t="inlineStr">
        <is>
          <t>PAY05</t>
        </is>
      </c>
      <c r="N460" t="inlineStr">
        <is>
          <t>Evening</t>
        </is>
      </c>
      <c r="O460">
        <f>INDEX(Products_Catalog!$B$2:$B$151, MATCH(C460, Products_Catalog!$A$2:$A$151, 0))</f>
        <v/>
      </c>
      <c r="P460" s="13">
        <f>INDEX(Products_Catalog!$D$2:$D$151, MATCH(C460, Products_Catalog!$A$2:$A$151, 0))</f>
        <v/>
      </c>
      <c r="Q460" s="13">
        <f>I460-J460</f>
        <v/>
      </c>
      <c r="R460" s="15">
        <f>IF(K460&gt;20, "BREACH", "OK")</f>
        <v/>
      </c>
    </row>
    <row r="461">
      <c r="A461" t="inlineStr">
        <is>
          <t>ORD01488</t>
        </is>
      </c>
      <c r="B461" t="inlineStr">
        <is>
          <t>CUST0007</t>
        </is>
      </c>
      <c r="C461" t="inlineStr">
        <is>
          <t>PROD102</t>
        </is>
      </c>
      <c r="D461" t="inlineStr">
        <is>
          <t>STORE018</t>
        </is>
      </c>
      <c r="E461" t="inlineStr">
        <is>
          <t>DP045</t>
        </is>
      </c>
      <c r="F461" t="inlineStr">
        <is>
          <t>2025-01-24 18:56:00</t>
        </is>
      </c>
      <c r="G461" t="inlineStr">
        <is>
          <t>2025-01-24 19:14:00</t>
        </is>
      </c>
      <c r="H461" s="14" t="n">
        <v>9</v>
      </c>
      <c r="I461" s="13" t="n">
        <v>4426.29</v>
      </c>
      <c r="J461" s="13" t="n">
        <v>363.63</v>
      </c>
      <c r="K461" s="16" t="n">
        <v>18</v>
      </c>
      <c r="L461" t="inlineStr">
        <is>
          <t>Shipped</t>
        </is>
      </c>
      <c r="M461" t="inlineStr">
        <is>
          <t>PAY04</t>
        </is>
      </c>
      <c r="N461" t="inlineStr">
        <is>
          <t>Evening</t>
        </is>
      </c>
      <c r="O461">
        <f>INDEX(Products_Catalog!$B$2:$B$151, MATCH(C461, Products_Catalog!$A$2:$A$151, 0))</f>
        <v/>
      </c>
      <c r="P461" s="13">
        <f>INDEX(Products_Catalog!$D$2:$D$151, MATCH(C461, Products_Catalog!$A$2:$A$151, 0))</f>
        <v/>
      </c>
      <c r="Q461" s="13">
        <f>I461-J461</f>
        <v/>
      </c>
      <c r="R461" s="15">
        <f>IF(K461&gt;20, "BREACH", "OK")</f>
        <v/>
      </c>
    </row>
    <row r="462">
      <c r="A462" t="inlineStr">
        <is>
          <t>ORD01489</t>
        </is>
      </c>
      <c r="B462" t="inlineStr">
        <is>
          <t>CUST0018</t>
        </is>
      </c>
      <c r="C462" t="inlineStr">
        <is>
          <t>PROD056</t>
        </is>
      </c>
      <c r="D462" t="inlineStr">
        <is>
          <t>STORE033</t>
        </is>
      </c>
      <c r="E462" t="inlineStr">
        <is>
          <t>DP048</t>
        </is>
      </c>
      <c r="F462" t="inlineStr">
        <is>
          <t>2024-07-12 16:20:00</t>
        </is>
      </c>
      <c r="G462" t="inlineStr">
        <is>
          <t>2024-07-12 16:39:00</t>
        </is>
      </c>
      <c r="H462" s="14" t="n">
        <v>5</v>
      </c>
      <c r="I462" s="13" t="n">
        <v>761.7</v>
      </c>
      <c r="J462" s="13" t="n">
        <v>194.53</v>
      </c>
      <c r="K462" s="16" t="n">
        <v>19</v>
      </c>
      <c r="L462" t="inlineStr">
        <is>
          <t>Returned</t>
        </is>
      </c>
      <c r="M462" t="inlineStr">
        <is>
          <t>PAY04</t>
        </is>
      </c>
      <c r="N462" t="inlineStr">
        <is>
          <t>Afternoon</t>
        </is>
      </c>
      <c r="O462">
        <f>INDEX(Products_Catalog!$B$2:$B$151, MATCH(C462, Products_Catalog!$A$2:$A$151, 0))</f>
        <v/>
      </c>
      <c r="P462" s="13">
        <f>INDEX(Products_Catalog!$D$2:$D$151, MATCH(C462, Products_Catalog!$A$2:$A$151, 0))</f>
        <v/>
      </c>
      <c r="Q462" s="13">
        <f>I462-J462</f>
        <v/>
      </c>
      <c r="R462" s="15">
        <f>IF(K462&gt;20, "BREACH", "OK")</f>
        <v/>
      </c>
    </row>
    <row r="463">
      <c r="A463" t="inlineStr">
        <is>
          <t>ORD01491</t>
        </is>
      </c>
      <c r="B463" t="inlineStr">
        <is>
          <t>CUST0026</t>
        </is>
      </c>
      <c r="C463" t="inlineStr">
        <is>
          <t>PROD081</t>
        </is>
      </c>
      <c r="D463" t="inlineStr">
        <is>
          <t>STORE021</t>
        </is>
      </c>
      <c r="E463" t="inlineStr">
        <is>
          <t>DP042</t>
        </is>
      </c>
      <c r="F463" t="inlineStr">
        <is>
          <t>2025-05-31 18:41:00</t>
        </is>
      </c>
      <c r="G463" t="inlineStr">
        <is>
          <t>2025-05-31 19:02:00</t>
        </is>
      </c>
      <c r="H463" s="14" t="n">
        <v>4</v>
      </c>
      <c r="I463" s="13" t="n">
        <v>521</v>
      </c>
      <c r="J463" s="13" t="n">
        <v>153.4</v>
      </c>
      <c r="K463" s="16" t="n">
        <v>21</v>
      </c>
      <c r="L463" t="inlineStr">
        <is>
          <t>Shipped</t>
        </is>
      </c>
      <c r="M463" t="inlineStr">
        <is>
          <t>PAY01</t>
        </is>
      </c>
      <c r="N463" t="inlineStr">
        <is>
          <t>Evening</t>
        </is>
      </c>
      <c r="O463">
        <f>INDEX(Products_Catalog!$B$2:$B$151, MATCH(C463, Products_Catalog!$A$2:$A$151, 0))</f>
        <v/>
      </c>
      <c r="P463" s="13">
        <f>INDEX(Products_Catalog!$D$2:$D$151, MATCH(C463, Products_Catalog!$A$2:$A$151, 0))</f>
        <v/>
      </c>
      <c r="Q463" s="13">
        <f>I463-J463</f>
        <v/>
      </c>
      <c r="R463" s="15">
        <f>IF(K463&gt;20, "BREACH", "OK")</f>
        <v/>
      </c>
    </row>
    <row r="464">
      <c r="A464" t="inlineStr">
        <is>
          <t>ORD01495</t>
        </is>
      </c>
      <c r="B464" t="inlineStr">
        <is>
          <t>CUST0047</t>
        </is>
      </c>
      <c r="C464" t="inlineStr">
        <is>
          <t>PROD118</t>
        </is>
      </c>
      <c r="D464" t="inlineStr">
        <is>
          <t>STORE033</t>
        </is>
      </c>
      <c r="E464" t="inlineStr">
        <is>
          <t>DP038</t>
        </is>
      </c>
      <c r="F464" t="inlineStr">
        <is>
          <t>2024-05-26 10:26:00</t>
        </is>
      </c>
      <c r="G464" t="inlineStr">
        <is>
          <t>2024-05-26 10:51:00</t>
        </is>
      </c>
      <c r="H464" s="14" t="n">
        <v>8</v>
      </c>
      <c r="I464" s="13" t="n">
        <v>1321.92</v>
      </c>
      <c r="J464" s="13" t="n">
        <v>17.26</v>
      </c>
      <c r="K464" s="16" t="n">
        <v>25</v>
      </c>
      <c r="L464" t="inlineStr">
        <is>
          <t>Shipped</t>
        </is>
      </c>
      <c r="M464" t="inlineStr">
        <is>
          <t>PAY05</t>
        </is>
      </c>
      <c r="N464" t="inlineStr">
        <is>
          <t>Morning</t>
        </is>
      </c>
      <c r="O464">
        <f>INDEX(Products_Catalog!$B$2:$B$151, MATCH(C464, Products_Catalog!$A$2:$A$151, 0))</f>
        <v/>
      </c>
      <c r="P464" s="13">
        <f>INDEX(Products_Catalog!$D$2:$D$151, MATCH(C464, Products_Catalog!$A$2:$A$151, 0))</f>
        <v/>
      </c>
      <c r="Q464" s="13">
        <f>I464-J464</f>
        <v/>
      </c>
      <c r="R464" s="15">
        <f>IF(K464&gt;20, "BREACH", "OK")</f>
        <v/>
      </c>
    </row>
    <row r="465">
      <c r="A465" t="inlineStr">
        <is>
          <t>ORD01496</t>
        </is>
      </c>
      <c r="B465" t="inlineStr">
        <is>
          <t>CUST0010</t>
        </is>
      </c>
      <c r="C465" t="inlineStr">
        <is>
          <t>PROD073</t>
        </is>
      </c>
      <c r="D465" t="inlineStr">
        <is>
          <t>STORE046</t>
        </is>
      </c>
      <c r="E465" t="inlineStr">
        <is>
          <t>DP023</t>
        </is>
      </c>
      <c r="F465" t="inlineStr">
        <is>
          <t>2024-12-26 20:02:00</t>
        </is>
      </c>
      <c r="G465" t="inlineStr">
        <is>
          <t>2024-12-26 20:28:00</t>
        </is>
      </c>
      <c r="H465" s="14" t="n">
        <v>5</v>
      </c>
      <c r="I465" s="13" t="n">
        <v>719.85</v>
      </c>
      <c r="J465" s="13" t="n">
        <v>169.54</v>
      </c>
      <c r="K465" s="16" t="n">
        <v>26</v>
      </c>
      <c r="L465" t="inlineStr">
        <is>
          <t>Cancelled</t>
        </is>
      </c>
      <c r="M465" t="inlineStr">
        <is>
          <t>PAY04</t>
        </is>
      </c>
      <c r="N465" t="inlineStr">
        <is>
          <t>Evening</t>
        </is>
      </c>
      <c r="O465">
        <f>INDEX(Products_Catalog!$B$2:$B$151, MATCH(C465, Products_Catalog!$A$2:$A$151, 0))</f>
        <v/>
      </c>
      <c r="P465" s="13">
        <f>INDEX(Products_Catalog!$D$2:$D$151, MATCH(C465, Products_Catalog!$A$2:$A$151, 0))</f>
        <v/>
      </c>
      <c r="Q465" s="13">
        <f>I465-J465</f>
        <v/>
      </c>
      <c r="R465" s="15">
        <f>IF(K465&gt;20, "BREACH", "OK")</f>
        <v/>
      </c>
    </row>
    <row r="466">
      <c r="A466" t="inlineStr">
        <is>
          <t>ORD01497</t>
        </is>
      </c>
      <c r="B466" t="inlineStr">
        <is>
          <t>CUST0002</t>
        </is>
      </c>
      <c r="C466" t="inlineStr">
        <is>
          <t>PROD001</t>
        </is>
      </c>
      <c r="D466" t="inlineStr">
        <is>
          <t>STORE005</t>
        </is>
      </c>
      <c r="E466" t="inlineStr">
        <is>
          <t>DP024</t>
        </is>
      </c>
      <c r="F466" t="inlineStr">
        <is>
          <t>2024-07-01 10:11:00</t>
        </is>
      </c>
      <c r="G466" t="inlineStr">
        <is>
          <t>2024-07-01 10:38:00</t>
        </is>
      </c>
      <c r="H466" s="14" t="n">
        <v>2</v>
      </c>
      <c r="I466" s="13" t="n">
        <v>508.24</v>
      </c>
      <c r="J466" s="13" t="n">
        <v>108.51</v>
      </c>
      <c r="K466" s="16" t="n">
        <v>27</v>
      </c>
      <c r="L466" t="inlineStr">
        <is>
          <t>Returned</t>
        </is>
      </c>
      <c r="M466" t="inlineStr">
        <is>
          <t>PAY03</t>
        </is>
      </c>
      <c r="N466" t="inlineStr">
        <is>
          <t>Morning</t>
        </is>
      </c>
      <c r="O466">
        <f>INDEX(Products_Catalog!$B$2:$B$151, MATCH(C466, Products_Catalog!$A$2:$A$151, 0))</f>
        <v/>
      </c>
      <c r="P466" s="13">
        <f>INDEX(Products_Catalog!$D$2:$D$151, MATCH(C466, Products_Catalog!$A$2:$A$151, 0))</f>
        <v/>
      </c>
      <c r="Q466" s="13">
        <f>I466-J466</f>
        <v/>
      </c>
      <c r="R466" s="15">
        <f>IF(K466&gt;20, "BREACH", "OK")</f>
        <v/>
      </c>
    </row>
    <row r="467">
      <c r="A467" t="inlineStr">
        <is>
          <t>ORD01499</t>
        </is>
      </c>
      <c r="B467" t="inlineStr">
        <is>
          <t>CUST0020</t>
        </is>
      </c>
      <c r="C467" t="inlineStr">
        <is>
          <t>PROD077</t>
        </is>
      </c>
      <c r="D467" t="inlineStr">
        <is>
          <t>STORE004</t>
        </is>
      </c>
      <c r="E467" t="inlineStr">
        <is>
          <t>DP013</t>
        </is>
      </c>
      <c r="F467" t="inlineStr">
        <is>
          <t>2024-05-11 09:04:00</t>
        </is>
      </c>
      <c r="G467" t="inlineStr">
        <is>
          <t>2024-05-11 09:33:00</t>
        </is>
      </c>
      <c r="H467" s="14" t="n">
        <v>5</v>
      </c>
      <c r="I467" s="13" t="n">
        <v>1655.05</v>
      </c>
      <c r="J467" s="13" t="n">
        <v>266.34</v>
      </c>
      <c r="K467" s="16" t="n">
        <v>29</v>
      </c>
      <c r="L467" t="inlineStr">
        <is>
          <t>Delivered</t>
        </is>
      </c>
      <c r="M467" t="inlineStr">
        <is>
          <t>PAY03</t>
        </is>
      </c>
      <c r="N467" t="inlineStr">
        <is>
          <t>Morning</t>
        </is>
      </c>
      <c r="O467">
        <f>INDEX(Products_Catalog!$B$2:$B$151, MATCH(C467, Products_Catalog!$A$2:$A$151, 0))</f>
        <v/>
      </c>
      <c r="P467" s="13">
        <f>INDEX(Products_Catalog!$D$2:$D$151, MATCH(C467, Products_Catalog!$A$2:$A$151, 0))</f>
        <v/>
      </c>
      <c r="Q467" s="13">
        <f>I467-J467</f>
        <v/>
      </c>
      <c r="R467" s="15">
        <f>IF(K467&gt;20, "BREACH", "OK")</f>
        <v/>
      </c>
    </row>
    <row r="468">
      <c r="A468" t="inlineStr">
        <is>
          <t>ORD01500</t>
        </is>
      </c>
      <c r="B468" t="inlineStr">
        <is>
          <t>CUST0015</t>
        </is>
      </c>
      <c r="C468" t="inlineStr">
        <is>
          <t>PROD074</t>
        </is>
      </c>
      <c r="D468" t="inlineStr">
        <is>
          <t>STORE004</t>
        </is>
      </c>
      <c r="E468" t="inlineStr">
        <is>
          <t>DP015</t>
        </is>
      </c>
      <c r="F468" t="inlineStr">
        <is>
          <t>2025-05-23 17:21:00</t>
        </is>
      </c>
      <c r="G468" t="inlineStr">
        <is>
          <t>2025-05-23 17:51:00</t>
        </is>
      </c>
      <c r="H468" s="14" t="n">
        <v>5</v>
      </c>
      <c r="I468" s="13" t="n">
        <v>1475.1</v>
      </c>
      <c r="J468" s="13" t="n">
        <v>283.06</v>
      </c>
      <c r="K468" s="16" t="n">
        <v>30</v>
      </c>
      <c r="L468" t="inlineStr">
        <is>
          <t>Cancelled</t>
        </is>
      </c>
      <c r="M468" t="inlineStr">
        <is>
          <t>PAY01</t>
        </is>
      </c>
      <c r="N468" t="inlineStr">
        <is>
          <t>Evening</t>
        </is>
      </c>
      <c r="O468">
        <f>INDEX(Products_Catalog!$B$2:$B$151, MATCH(C468, Products_Catalog!$A$2:$A$151, 0))</f>
        <v/>
      </c>
      <c r="P468" s="13">
        <f>INDEX(Products_Catalog!$D$2:$D$151, MATCH(C468, Products_Catalog!$A$2:$A$151, 0))</f>
        <v/>
      </c>
      <c r="Q468" s="13">
        <f>I468-J468</f>
        <v/>
      </c>
      <c r="R468" s="15">
        <f>IF(K468&gt;20, "BREACH", "OK")</f>
        <v/>
      </c>
    </row>
    <row r="469">
      <c r="A469" t="inlineStr">
        <is>
          <t>ORD01502</t>
        </is>
      </c>
      <c r="B469" t="inlineStr">
        <is>
          <t>CUST0002</t>
        </is>
      </c>
      <c r="C469" t="inlineStr">
        <is>
          <t>PROD006</t>
        </is>
      </c>
      <c r="D469" t="inlineStr">
        <is>
          <t>STORE025</t>
        </is>
      </c>
      <c r="E469" t="inlineStr">
        <is>
          <t>DP050</t>
        </is>
      </c>
      <c r="F469" t="inlineStr">
        <is>
          <t>2024-04-09 10:58:00</t>
        </is>
      </c>
      <c r="G469" t="inlineStr">
        <is>
          <t>2024-04-09 11:19:00</t>
        </is>
      </c>
      <c r="H469" s="14" t="n">
        <v>2</v>
      </c>
      <c r="I469" s="13" t="n">
        <v>904.6799999999999</v>
      </c>
      <c r="J469" s="13" t="n">
        <v>270.83</v>
      </c>
      <c r="K469" s="16" t="n">
        <v>21</v>
      </c>
      <c r="L469" t="inlineStr">
        <is>
          <t>Pending</t>
        </is>
      </c>
      <c r="M469" t="inlineStr">
        <is>
          <t>PAY04</t>
        </is>
      </c>
      <c r="N469" t="inlineStr">
        <is>
          <t>Morning</t>
        </is>
      </c>
      <c r="O469">
        <f>INDEX(Products_Catalog!$B$2:$B$151, MATCH(C469, Products_Catalog!$A$2:$A$151, 0))</f>
        <v/>
      </c>
      <c r="P469" s="13">
        <f>INDEX(Products_Catalog!$D$2:$D$151, MATCH(C469, Products_Catalog!$A$2:$A$151, 0))</f>
        <v/>
      </c>
      <c r="Q469" s="13">
        <f>I469-J469</f>
        <v/>
      </c>
      <c r="R469" s="15">
        <f>IF(K469&gt;20, "BREACH", "OK")</f>
        <v/>
      </c>
    </row>
    <row r="470">
      <c r="A470" t="inlineStr">
        <is>
          <t>ORD01504</t>
        </is>
      </c>
      <c r="B470" t="inlineStr">
        <is>
          <t>CUST0023</t>
        </is>
      </c>
      <c r="C470" t="inlineStr">
        <is>
          <t>PROD037</t>
        </is>
      </c>
      <c r="D470" t="inlineStr">
        <is>
          <t>STORE012</t>
        </is>
      </c>
      <c r="E470" t="inlineStr">
        <is>
          <t>DP010</t>
        </is>
      </c>
      <c r="F470" t="inlineStr">
        <is>
          <t>2025-02-27 08:00:00</t>
        </is>
      </c>
      <c r="G470" t="inlineStr">
        <is>
          <t>2025-02-27 08:23:00</t>
        </is>
      </c>
      <c r="H470" s="14" t="n">
        <v>5</v>
      </c>
      <c r="I470" s="13" t="n">
        <v>708.6</v>
      </c>
      <c r="J470" s="13" t="n">
        <v>174.2</v>
      </c>
      <c r="K470" s="16" t="n">
        <v>23</v>
      </c>
      <c r="L470" t="inlineStr">
        <is>
          <t>Delivered</t>
        </is>
      </c>
      <c r="M470" t="inlineStr">
        <is>
          <t>PAY04</t>
        </is>
      </c>
      <c r="N470" t="inlineStr">
        <is>
          <t>Morning</t>
        </is>
      </c>
      <c r="O470">
        <f>INDEX(Products_Catalog!$B$2:$B$151, MATCH(C470, Products_Catalog!$A$2:$A$151, 0))</f>
        <v/>
      </c>
      <c r="P470" s="13">
        <f>INDEX(Products_Catalog!$D$2:$D$151, MATCH(C470, Products_Catalog!$A$2:$A$151, 0))</f>
        <v/>
      </c>
      <c r="Q470" s="13">
        <f>I470-J470</f>
        <v/>
      </c>
      <c r="R470" s="15">
        <f>IF(K470&gt;20, "BREACH", "OK")</f>
        <v/>
      </c>
    </row>
    <row r="471">
      <c r="A471" t="inlineStr">
        <is>
          <t>ORD01505</t>
        </is>
      </c>
      <c r="B471" t="inlineStr">
        <is>
          <t>CUST0009</t>
        </is>
      </c>
      <c r="C471" t="inlineStr">
        <is>
          <t>PROD045</t>
        </is>
      </c>
      <c r="D471" t="inlineStr">
        <is>
          <t>STORE001</t>
        </is>
      </c>
      <c r="E471" t="inlineStr">
        <is>
          <t>DP044</t>
        </is>
      </c>
      <c r="F471" t="inlineStr">
        <is>
          <t>2024-12-27 17:18:00</t>
        </is>
      </c>
      <c r="G471" t="inlineStr">
        <is>
          <t>2024-12-27 17:42:00</t>
        </is>
      </c>
      <c r="H471" s="14" t="n">
        <v>1</v>
      </c>
      <c r="I471" s="13" t="n">
        <v>445.91</v>
      </c>
      <c r="J471" s="13" t="n">
        <v>110.92</v>
      </c>
      <c r="K471" s="16" t="n">
        <v>24</v>
      </c>
      <c r="L471" t="inlineStr">
        <is>
          <t>Pending</t>
        </is>
      </c>
      <c r="M471" t="inlineStr">
        <is>
          <t>PAY03</t>
        </is>
      </c>
      <c r="N471" t="inlineStr">
        <is>
          <t>Evening</t>
        </is>
      </c>
      <c r="O471">
        <f>INDEX(Products_Catalog!$B$2:$B$151, MATCH(C471, Products_Catalog!$A$2:$A$151, 0))</f>
        <v/>
      </c>
      <c r="P471" s="13">
        <f>INDEX(Products_Catalog!$D$2:$D$151, MATCH(C471, Products_Catalog!$A$2:$A$151, 0))</f>
        <v/>
      </c>
      <c r="Q471" s="13">
        <f>I471-J471</f>
        <v/>
      </c>
      <c r="R471" s="15">
        <f>IF(K471&gt;20, "BREACH", "OK")</f>
        <v/>
      </c>
    </row>
    <row r="472">
      <c r="A472" t="inlineStr">
        <is>
          <t>ORD01506</t>
        </is>
      </c>
      <c r="B472" t="inlineStr">
        <is>
          <t>CUST0021</t>
        </is>
      </c>
      <c r="C472" t="inlineStr">
        <is>
          <t>PROD124</t>
        </is>
      </c>
      <c r="D472" t="inlineStr">
        <is>
          <t>STORE017</t>
        </is>
      </c>
      <c r="E472" t="inlineStr">
        <is>
          <t>DP046</t>
        </is>
      </c>
      <c r="F472" t="inlineStr">
        <is>
          <t>2024-05-08 13:47:00</t>
        </is>
      </c>
      <c r="G472" t="inlineStr">
        <is>
          <t>2024-05-08 14:12:00</t>
        </is>
      </c>
      <c r="H472" s="14" t="n">
        <v>3</v>
      </c>
      <c r="I472" s="13" t="n">
        <v>914.37</v>
      </c>
      <c r="J472" s="13" t="n">
        <v>41.27</v>
      </c>
      <c r="K472" s="16" t="n">
        <v>25</v>
      </c>
      <c r="L472" t="inlineStr">
        <is>
          <t>Shipped</t>
        </is>
      </c>
      <c r="M472" t="inlineStr">
        <is>
          <t>PAY03</t>
        </is>
      </c>
      <c r="N472" t="inlineStr">
        <is>
          <t>Afternoon</t>
        </is>
      </c>
      <c r="O472">
        <f>INDEX(Products_Catalog!$B$2:$B$151, MATCH(C472, Products_Catalog!$A$2:$A$151, 0))</f>
        <v/>
      </c>
      <c r="P472" s="13">
        <f>INDEX(Products_Catalog!$D$2:$D$151, MATCH(C472, Products_Catalog!$A$2:$A$151, 0))</f>
        <v/>
      </c>
      <c r="Q472" s="13">
        <f>I472-J472</f>
        <v/>
      </c>
      <c r="R472" s="15">
        <f>IF(K472&gt;20, "BREACH", "OK")</f>
        <v/>
      </c>
    </row>
    <row r="473">
      <c r="A473" t="inlineStr">
        <is>
          <t>ORD01508</t>
        </is>
      </c>
      <c r="B473" t="inlineStr">
        <is>
          <t>CUST0016</t>
        </is>
      </c>
      <c r="C473" t="inlineStr">
        <is>
          <t>PROD015</t>
        </is>
      </c>
      <c r="D473" t="inlineStr">
        <is>
          <t>STORE003</t>
        </is>
      </c>
      <c r="E473" t="inlineStr">
        <is>
          <t>DP028</t>
        </is>
      </c>
      <c r="F473" t="inlineStr">
        <is>
          <t>2025-06-28 13:01:00</t>
        </is>
      </c>
      <c r="G473" t="inlineStr">
        <is>
          <t>2025-06-28 13:28:00</t>
        </is>
      </c>
      <c r="H473" s="14" t="n">
        <v>1</v>
      </c>
      <c r="I473" s="13" t="n">
        <v>385.2</v>
      </c>
      <c r="J473" s="13" t="n">
        <v>61.01</v>
      </c>
      <c r="K473" s="16" t="n">
        <v>27</v>
      </c>
      <c r="L473" t="inlineStr">
        <is>
          <t>Shipped</t>
        </is>
      </c>
      <c r="M473" t="inlineStr">
        <is>
          <t>PAY05</t>
        </is>
      </c>
      <c r="N473" t="inlineStr">
        <is>
          <t>Afternoon</t>
        </is>
      </c>
      <c r="O473">
        <f>INDEX(Products_Catalog!$B$2:$B$151, MATCH(C473, Products_Catalog!$A$2:$A$151, 0))</f>
        <v/>
      </c>
      <c r="P473" s="13">
        <f>INDEX(Products_Catalog!$D$2:$D$151, MATCH(C473, Products_Catalog!$A$2:$A$151, 0))</f>
        <v/>
      </c>
      <c r="Q473" s="13">
        <f>I473-J473</f>
        <v/>
      </c>
      <c r="R473" s="15">
        <f>IF(K473&gt;20, "BREACH", "OK")</f>
        <v/>
      </c>
    </row>
    <row r="474">
      <c r="A474" t="inlineStr">
        <is>
          <t>ORD01509</t>
        </is>
      </c>
      <c r="B474" t="inlineStr">
        <is>
          <t>CUST0009</t>
        </is>
      </c>
      <c r="C474" t="inlineStr">
        <is>
          <t>PROD134</t>
        </is>
      </c>
      <c r="D474" t="inlineStr">
        <is>
          <t>STORE002</t>
        </is>
      </c>
      <c r="E474" t="inlineStr">
        <is>
          <t>DP047</t>
        </is>
      </c>
      <c r="F474" t="inlineStr">
        <is>
          <t>2024-12-03 07:46:00</t>
        </is>
      </c>
      <c r="G474" t="inlineStr">
        <is>
          <t>2024-12-03 08:14:00</t>
        </is>
      </c>
      <c r="H474" s="14" t="n">
        <v>4</v>
      </c>
      <c r="I474" s="13" t="n">
        <v>872.6799999999999</v>
      </c>
      <c r="J474" s="13" t="n">
        <v>234.5</v>
      </c>
      <c r="K474" s="16" t="n">
        <v>28</v>
      </c>
      <c r="L474" t="inlineStr">
        <is>
          <t>Returned</t>
        </is>
      </c>
      <c r="M474" t="inlineStr">
        <is>
          <t>PAY02</t>
        </is>
      </c>
      <c r="N474" t="inlineStr">
        <is>
          <t>Morning</t>
        </is>
      </c>
      <c r="O474">
        <f>INDEX(Products_Catalog!$B$2:$B$151, MATCH(C474, Products_Catalog!$A$2:$A$151, 0))</f>
        <v/>
      </c>
      <c r="P474" s="13">
        <f>INDEX(Products_Catalog!$D$2:$D$151, MATCH(C474, Products_Catalog!$A$2:$A$151, 0))</f>
        <v/>
      </c>
      <c r="Q474" s="13">
        <f>I474-J474</f>
        <v/>
      </c>
      <c r="R474" s="15">
        <f>IF(K474&gt;20, "BREACH", "OK")</f>
        <v/>
      </c>
    </row>
    <row r="475">
      <c r="A475" t="inlineStr">
        <is>
          <t>ORD01511</t>
        </is>
      </c>
      <c r="B475" t="inlineStr">
        <is>
          <t>CUST0035</t>
        </is>
      </c>
      <c r="C475" t="inlineStr">
        <is>
          <t>PROD015</t>
        </is>
      </c>
      <c r="D475" t="inlineStr">
        <is>
          <t>STORE050</t>
        </is>
      </c>
      <c r="E475" t="inlineStr">
        <is>
          <t>DP043</t>
        </is>
      </c>
      <c r="F475" t="inlineStr">
        <is>
          <t>2025-05-11 20:07:00</t>
        </is>
      </c>
      <c r="G475" t="inlineStr">
        <is>
          <t>2025-05-11 20:37:00</t>
        </is>
      </c>
      <c r="H475" s="14" t="n">
        <v>1</v>
      </c>
      <c r="I475" s="13" t="n">
        <v>139.97</v>
      </c>
      <c r="J475" s="13" t="n">
        <v>14.38</v>
      </c>
      <c r="K475" s="16" t="n">
        <v>30</v>
      </c>
      <c r="L475" t="inlineStr">
        <is>
          <t>Returned</t>
        </is>
      </c>
      <c r="M475" t="inlineStr">
        <is>
          <t>PAY05</t>
        </is>
      </c>
      <c r="N475" t="inlineStr">
        <is>
          <t>Evening</t>
        </is>
      </c>
      <c r="O475">
        <f>INDEX(Products_Catalog!$B$2:$B$151, MATCH(C475, Products_Catalog!$A$2:$A$151, 0))</f>
        <v/>
      </c>
      <c r="P475" s="13">
        <f>INDEX(Products_Catalog!$D$2:$D$151, MATCH(C475, Products_Catalog!$A$2:$A$151, 0))</f>
        <v/>
      </c>
      <c r="Q475" s="13">
        <f>I475-J475</f>
        <v/>
      </c>
      <c r="R475" s="15">
        <f>IF(K475&gt;20, "BREACH", "OK")</f>
        <v/>
      </c>
    </row>
    <row r="476">
      <c r="A476" t="inlineStr">
        <is>
          <t>ORD01512</t>
        </is>
      </c>
      <c r="B476" t="inlineStr">
        <is>
          <t>CUST0017</t>
        </is>
      </c>
      <c r="C476" t="inlineStr">
        <is>
          <t>PROD095</t>
        </is>
      </c>
      <c r="D476" t="inlineStr">
        <is>
          <t>STORE003</t>
        </is>
      </c>
      <c r="E476" t="inlineStr">
        <is>
          <t>DP021</t>
        </is>
      </c>
      <c r="F476" t="inlineStr">
        <is>
          <t>2025-04-26 17:49:00</t>
        </is>
      </c>
      <c r="G476" t="inlineStr">
        <is>
          <t>2025-04-26 17:59:00</t>
        </is>
      </c>
      <c r="H476" s="14" t="n">
        <v>10</v>
      </c>
      <c r="I476" s="13" t="n">
        <v>4092.6</v>
      </c>
      <c r="J476" s="13" t="n">
        <v>958.88</v>
      </c>
      <c r="K476" s="16" t="n">
        <v>10</v>
      </c>
      <c r="L476" t="inlineStr">
        <is>
          <t>Delivered</t>
        </is>
      </c>
      <c r="M476" t="inlineStr">
        <is>
          <t>PAY03</t>
        </is>
      </c>
      <c r="N476" t="inlineStr">
        <is>
          <t>Evening</t>
        </is>
      </c>
      <c r="O476">
        <f>INDEX(Products_Catalog!$B$2:$B$151, MATCH(C476, Products_Catalog!$A$2:$A$151, 0))</f>
        <v/>
      </c>
      <c r="P476" s="13">
        <f>INDEX(Products_Catalog!$D$2:$D$151, MATCH(C476, Products_Catalog!$A$2:$A$151, 0))</f>
        <v/>
      </c>
      <c r="Q476" s="13">
        <f>I476-J476</f>
        <v/>
      </c>
      <c r="R476" s="15">
        <f>IF(K476&gt;20, "BREACH", "OK")</f>
        <v/>
      </c>
    </row>
    <row r="477">
      <c r="A477" t="inlineStr">
        <is>
          <t>ORD01513</t>
        </is>
      </c>
      <c r="B477" t="inlineStr">
        <is>
          <t>CUST0007</t>
        </is>
      </c>
      <c r="C477" t="inlineStr">
        <is>
          <t>PROD112</t>
        </is>
      </c>
      <c r="D477" t="inlineStr">
        <is>
          <t>STORE009</t>
        </is>
      </c>
      <c r="E477" t="inlineStr">
        <is>
          <t>DP044</t>
        </is>
      </c>
      <c r="F477" t="inlineStr">
        <is>
          <t>2024-03-31 13:59:00</t>
        </is>
      </c>
      <c r="G477" t="inlineStr">
        <is>
          <t>2024-03-31 14:12:00</t>
        </is>
      </c>
      <c r="H477" s="14" t="n">
        <v>4</v>
      </c>
      <c r="I477" s="13" t="n">
        <v>318.88</v>
      </c>
      <c r="J477" s="13" t="n">
        <v>26.32</v>
      </c>
      <c r="K477" s="16" t="n">
        <v>13</v>
      </c>
      <c r="L477" t="inlineStr">
        <is>
          <t>Pending</t>
        </is>
      </c>
      <c r="M477" t="inlineStr">
        <is>
          <t>PAY01</t>
        </is>
      </c>
      <c r="N477" t="inlineStr">
        <is>
          <t>Afternoon</t>
        </is>
      </c>
      <c r="O477">
        <f>INDEX(Products_Catalog!$B$2:$B$151, MATCH(C477, Products_Catalog!$A$2:$A$151, 0))</f>
        <v/>
      </c>
      <c r="P477" s="13">
        <f>INDEX(Products_Catalog!$D$2:$D$151, MATCH(C477, Products_Catalog!$A$2:$A$151, 0))</f>
        <v/>
      </c>
      <c r="Q477" s="13">
        <f>I477-J477</f>
        <v/>
      </c>
      <c r="R477" s="15">
        <f>IF(K477&gt;20, "BREACH", "OK")</f>
        <v/>
      </c>
    </row>
    <row r="478">
      <c r="A478" t="inlineStr">
        <is>
          <t>ORD01514</t>
        </is>
      </c>
      <c r="B478" t="inlineStr">
        <is>
          <t>CUST0034</t>
        </is>
      </c>
      <c r="C478" t="inlineStr">
        <is>
          <t>PROD030</t>
        </is>
      </c>
      <c r="D478" t="inlineStr">
        <is>
          <t>STORE028</t>
        </is>
      </c>
      <c r="E478" t="inlineStr">
        <is>
          <t>DP032</t>
        </is>
      </c>
      <c r="F478" t="inlineStr">
        <is>
          <t>2024-02-06 13:06:00</t>
        </is>
      </c>
      <c r="G478" t="inlineStr">
        <is>
          <t>2024-02-06 13:24:00</t>
        </is>
      </c>
      <c r="H478" s="14" t="n">
        <v>6</v>
      </c>
      <c r="I478" s="13" t="n">
        <v>2318.46</v>
      </c>
      <c r="J478" s="13" t="n">
        <v>277.33</v>
      </c>
      <c r="K478" s="16" t="n">
        <v>18</v>
      </c>
      <c r="L478" t="inlineStr">
        <is>
          <t>Shipped</t>
        </is>
      </c>
      <c r="M478" t="inlineStr">
        <is>
          <t>PAY04</t>
        </is>
      </c>
      <c r="N478" t="inlineStr">
        <is>
          <t>Afternoon</t>
        </is>
      </c>
      <c r="O478">
        <f>INDEX(Products_Catalog!$B$2:$B$151, MATCH(C478, Products_Catalog!$A$2:$A$151, 0))</f>
        <v/>
      </c>
      <c r="P478" s="13">
        <f>INDEX(Products_Catalog!$D$2:$D$151, MATCH(C478, Products_Catalog!$A$2:$A$151, 0))</f>
        <v/>
      </c>
      <c r="Q478" s="13">
        <f>I478-J478</f>
        <v/>
      </c>
      <c r="R478" s="15">
        <f>IF(K478&gt;20, "BREACH", "OK")</f>
        <v/>
      </c>
    </row>
    <row r="479">
      <c r="A479" t="inlineStr">
        <is>
          <t>ORD01516</t>
        </is>
      </c>
      <c r="B479" t="inlineStr">
        <is>
          <t>CUST0020</t>
        </is>
      </c>
      <c r="C479" t="inlineStr">
        <is>
          <t>PROD057</t>
        </is>
      </c>
      <c r="D479" t="inlineStr">
        <is>
          <t>STORE007</t>
        </is>
      </c>
      <c r="E479" t="inlineStr">
        <is>
          <t>DP015</t>
        </is>
      </c>
      <c r="F479" t="inlineStr">
        <is>
          <t>2024-02-28 10:18:00</t>
        </is>
      </c>
      <c r="G479" t="inlineStr">
        <is>
          <t>2024-02-28 10:46:00</t>
        </is>
      </c>
      <c r="H479" s="14" t="n">
        <v>2</v>
      </c>
      <c r="I479" s="13" t="n">
        <v>135.22</v>
      </c>
      <c r="J479" s="13" t="n">
        <v>28.65</v>
      </c>
      <c r="K479" s="16" t="n">
        <v>28</v>
      </c>
      <c r="L479" t="inlineStr">
        <is>
          <t>Cancelled</t>
        </is>
      </c>
      <c r="M479" t="inlineStr">
        <is>
          <t>PAY01</t>
        </is>
      </c>
      <c r="N479" t="inlineStr">
        <is>
          <t>Morning</t>
        </is>
      </c>
      <c r="O479">
        <f>INDEX(Products_Catalog!$B$2:$B$151, MATCH(C479, Products_Catalog!$A$2:$A$151, 0))</f>
        <v/>
      </c>
      <c r="P479" s="13">
        <f>INDEX(Products_Catalog!$D$2:$D$151, MATCH(C479, Products_Catalog!$A$2:$A$151, 0))</f>
        <v/>
      </c>
      <c r="Q479" s="13">
        <f>I479-J479</f>
        <v/>
      </c>
      <c r="R479" s="15">
        <f>IF(K479&gt;20, "BREACH", "OK")</f>
        <v/>
      </c>
    </row>
    <row r="480">
      <c r="A480" t="inlineStr">
        <is>
          <t>ORD01517</t>
        </is>
      </c>
      <c r="B480" t="inlineStr">
        <is>
          <t>CUST0011</t>
        </is>
      </c>
      <c r="C480" t="inlineStr">
        <is>
          <t>PROD111</t>
        </is>
      </c>
      <c r="D480" t="inlineStr">
        <is>
          <t>STORE008</t>
        </is>
      </c>
      <c r="E480" t="inlineStr">
        <is>
          <t>DP050</t>
        </is>
      </c>
      <c r="F480" t="inlineStr">
        <is>
          <t>2024-06-06 12:20:00</t>
        </is>
      </c>
      <c r="G480" t="inlineStr">
        <is>
          <t>2024-06-06 12:32:00</t>
        </is>
      </c>
      <c r="H480" s="14" t="n">
        <v>1</v>
      </c>
      <c r="I480" s="13" t="n">
        <v>135.43</v>
      </c>
      <c r="J480" s="13" t="n">
        <v>16.28</v>
      </c>
      <c r="K480" s="16" t="n">
        <v>12</v>
      </c>
      <c r="L480" t="inlineStr">
        <is>
          <t>Shipped</t>
        </is>
      </c>
      <c r="M480" t="inlineStr">
        <is>
          <t>PAY01</t>
        </is>
      </c>
      <c r="N480" t="inlineStr">
        <is>
          <t>Afternoon</t>
        </is>
      </c>
      <c r="O480">
        <f>INDEX(Products_Catalog!$B$2:$B$151, MATCH(C480, Products_Catalog!$A$2:$A$151, 0))</f>
        <v/>
      </c>
      <c r="P480" s="13">
        <f>INDEX(Products_Catalog!$D$2:$D$151, MATCH(C480, Products_Catalog!$A$2:$A$151, 0))</f>
        <v/>
      </c>
      <c r="Q480" s="13">
        <f>I480-J480</f>
        <v/>
      </c>
      <c r="R480" s="15">
        <f>IF(K480&gt;20, "BREACH", "OK")</f>
        <v/>
      </c>
    </row>
    <row r="481">
      <c r="A481" t="inlineStr">
        <is>
          <t>ORD01518</t>
        </is>
      </c>
      <c r="B481" t="inlineStr">
        <is>
          <t>CUST0006</t>
        </is>
      </c>
      <c r="C481" t="inlineStr">
        <is>
          <t>PROD094</t>
        </is>
      </c>
      <c r="D481" t="inlineStr">
        <is>
          <t>STORE048</t>
        </is>
      </c>
      <c r="E481" t="inlineStr">
        <is>
          <t>DP001</t>
        </is>
      </c>
      <c r="F481" t="inlineStr">
        <is>
          <t>2024-03-30 15:53:00</t>
        </is>
      </c>
      <c r="G481" t="inlineStr">
        <is>
          <t>2024-03-30 16:09:00</t>
        </is>
      </c>
      <c r="H481" s="14" t="n">
        <v>10</v>
      </c>
      <c r="I481" s="13" t="n">
        <v>4616.8</v>
      </c>
      <c r="J481" s="13" t="n">
        <v>783.42</v>
      </c>
      <c r="K481" s="16" t="n">
        <v>16</v>
      </c>
      <c r="L481" t="inlineStr">
        <is>
          <t>Delivered</t>
        </is>
      </c>
      <c r="M481" t="inlineStr">
        <is>
          <t>PAY03</t>
        </is>
      </c>
      <c r="N481" t="inlineStr">
        <is>
          <t>Afternoon</t>
        </is>
      </c>
      <c r="O481">
        <f>INDEX(Products_Catalog!$B$2:$B$151, MATCH(C481, Products_Catalog!$A$2:$A$151, 0))</f>
        <v/>
      </c>
      <c r="P481" s="13">
        <f>INDEX(Products_Catalog!$D$2:$D$151, MATCH(C481, Products_Catalog!$A$2:$A$151, 0))</f>
        <v/>
      </c>
      <c r="Q481" s="13">
        <f>I481-J481</f>
        <v/>
      </c>
      <c r="R481" s="15">
        <f>IF(K481&gt;20, "BREACH", "OK")</f>
        <v/>
      </c>
    </row>
    <row r="482">
      <c r="A482" t="inlineStr">
        <is>
          <t>ORD01523</t>
        </is>
      </c>
      <c r="B482" t="inlineStr">
        <is>
          <t>CUST0047</t>
        </is>
      </c>
      <c r="C482" t="inlineStr">
        <is>
          <t>PROD095</t>
        </is>
      </c>
      <c r="D482" t="inlineStr">
        <is>
          <t>STORE009</t>
        </is>
      </c>
      <c r="E482" t="inlineStr">
        <is>
          <t>DP018</t>
        </is>
      </c>
      <c r="F482" t="inlineStr">
        <is>
          <t>2024-11-25 19:02:00</t>
        </is>
      </c>
      <c r="G482" t="inlineStr">
        <is>
          <t>2024-11-25 19:32:00</t>
        </is>
      </c>
      <c r="H482" s="14" t="n">
        <v>2</v>
      </c>
      <c r="I482" s="13" t="n">
        <v>709.24</v>
      </c>
      <c r="J482" s="13" t="n">
        <v>55.26</v>
      </c>
      <c r="K482" s="16" t="n">
        <v>30</v>
      </c>
      <c r="L482" t="inlineStr">
        <is>
          <t>Delivered</t>
        </is>
      </c>
      <c r="M482" t="inlineStr">
        <is>
          <t>PAY02</t>
        </is>
      </c>
      <c r="N482" t="inlineStr">
        <is>
          <t>Evening</t>
        </is>
      </c>
      <c r="O482">
        <f>INDEX(Products_Catalog!$B$2:$B$151, MATCH(C482, Products_Catalog!$A$2:$A$151, 0))</f>
        <v/>
      </c>
      <c r="P482" s="13">
        <f>INDEX(Products_Catalog!$D$2:$D$151, MATCH(C482, Products_Catalog!$A$2:$A$151, 0))</f>
        <v/>
      </c>
      <c r="Q482" s="13">
        <f>I482-J482</f>
        <v/>
      </c>
      <c r="R482" s="15">
        <f>IF(K482&gt;20, "BREACH", "OK")</f>
        <v/>
      </c>
    </row>
    <row r="483">
      <c r="A483" t="inlineStr">
        <is>
          <t>ORD01524</t>
        </is>
      </c>
      <c r="B483" t="inlineStr">
        <is>
          <t>CUST0001</t>
        </is>
      </c>
      <c r="C483" t="inlineStr">
        <is>
          <t>PROD099</t>
        </is>
      </c>
      <c r="D483" t="inlineStr">
        <is>
          <t>STORE049</t>
        </is>
      </c>
      <c r="E483" t="inlineStr">
        <is>
          <t>DP016</t>
        </is>
      </c>
      <c r="F483" t="inlineStr">
        <is>
          <t>2024-10-05 08:35:00</t>
        </is>
      </c>
      <c r="G483" t="inlineStr">
        <is>
          <t>2024-10-05 08:49:00</t>
        </is>
      </c>
      <c r="H483" s="14" t="n">
        <v>8</v>
      </c>
      <c r="I483" s="13" t="n">
        <v>898.64</v>
      </c>
      <c r="J483" s="13" t="n">
        <v>250.69</v>
      </c>
      <c r="K483" s="16" t="n">
        <v>14</v>
      </c>
      <c r="L483" t="inlineStr">
        <is>
          <t>Returned</t>
        </is>
      </c>
      <c r="M483" t="inlineStr">
        <is>
          <t>PAY05</t>
        </is>
      </c>
      <c r="N483" t="inlineStr">
        <is>
          <t>Morning</t>
        </is>
      </c>
      <c r="O483">
        <f>INDEX(Products_Catalog!$B$2:$B$151, MATCH(C483, Products_Catalog!$A$2:$A$151, 0))</f>
        <v/>
      </c>
      <c r="P483" s="13">
        <f>INDEX(Products_Catalog!$D$2:$D$151, MATCH(C483, Products_Catalog!$A$2:$A$151, 0))</f>
        <v/>
      </c>
      <c r="Q483" s="13">
        <f>I483-J483</f>
        <v/>
      </c>
      <c r="R483" s="15">
        <f>IF(K483&gt;20, "BREACH", "OK")</f>
        <v/>
      </c>
    </row>
    <row r="484">
      <c r="A484" t="inlineStr">
        <is>
          <t>ORD01525</t>
        </is>
      </c>
      <c r="B484" t="inlineStr">
        <is>
          <t>CUST0046</t>
        </is>
      </c>
      <c r="C484" t="inlineStr">
        <is>
          <t>PROD047</t>
        </is>
      </c>
      <c r="D484" t="inlineStr">
        <is>
          <t>STORE013</t>
        </is>
      </c>
      <c r="E484" t="inlineStr">
        <is>
          <t>DP039</t>
        </is>
      </c>
      <c r="F484" t="inlineStr">
        <is>
          <t>2024-02-16 08:35:00</t>
        </is>
      </c>
      <c r="G484" t="inlineStr">
        <is>
          <t>2024-02-16 08:54:00</t>
        </is>
      </c>
      <c r="H484" s="14" t="n">
        <v>8</v>
      </c>
      <c r="I484" s="13" t="n">
        <v>2209.2</v>
      </c>
      <c r="J484" s="13" t="n">
        <v>640.62</v>
      </c>
      <c r="K484" s="16" t="n">
        <v>19</v>
      </c>
      <c r="L484" t="inlineStr">
        <is>
          <t>Cancelled</t>
        </is>
      </c>
      <c r="M484" t="inlineStr">
        <is>
          <t>PAY03</t>
        </is>
      </c>
      <c r="N484" t="inlineStr">
        <is>
          <t>Morning</t>
        </is>
      </c>
      <c r="O484">
        <f>INDEX(Products_Catalog!$B$2:$B$151, MATCH(C484, Products_Catalog!$A$2:$A$151, 0))</f>
        <v/>
      </c>
      <c r="P484" s="13">
        <f>INDEX(Products_Catalog!$D$2:$D$151, MATCH(C484, Products_Catalog!$A$2:$A$151, 0))</f>
        <v/>
      </c>
      <c r="Q484" s="13">
        <f>I484-J484</f>
        <v/>
      </c>
      <c r="R484" s="15">
        <f>IF(K484&gt;20, "BREACH", "OK")</f>
        <v/>
      </c>
    </row>
    <row r="485">
      <c r="A485" t="inlineStr">
        <is>
          <t>ORD01526</t>
        </is>
      </c>
      <c r="B485" t="inlineStr">
        <is>
          <t>CUST0014</t>
        </is>
      </c>
      <c r="C485" t="inlineStr">
        <is>
          <t>PROD108</t>
        </is>
      </c>
      <c r="D485" t="inlineStr">
        <is>
          <t>STORE016</t>
        </is>
      </c>
      <c r="E485" t="inlineStr">
        <is>
          <t>DP021</t>
        </is>
      </c>
      <c r="F485" t="inlineStr">
        <is>
          <t>2024-01-31 14:33:00</t>
        </is>
      </c>
      <c r="G485" t="inlineStr">
        <is>
          <t>2024-01-31 14:57:00</t>
        </is>
      </c>
      <c r="H485" s="14" t="n">
        <v>7</v>
      </c>
      <c r="I485" s="13" t="n">
        <v>1807.26</v>
      </c>
      <c r="J485" s="13" t="n">
        <v>359.48</v>
      </c>
      <c r="K485" s="16" t="n">
        <v>24</v>
      </c>
      <c r="L485" t="inlineStr">
        <is>
          <t>Cancelled</t>
        </is>
      </c>
      <c r="M485" t="inlineStr">
        <is>
          <t>PAY01</t>
        </is>
      </c>
      <c r="N485" t="inlineStr">
        <is>
          <t>Afternoon</t>
        </is>
      </c>
      <c r="O485">
        <f>INDEX(Products_Catalog!$B$2:$B$151, MATCH(C485, Products_Catalog!$A$2:$A$151, 0))</f>
        <v/>
      </c>
      <c r="P485" s="13">
        <f>INDEX(Products_Catalog!$D$2:$D$151, MATCH(C485, Products_Catalog!$A$2:$A$151, 0))</f>
        <v/>
      </c>
      <c r="Q485" s="13">
        <f>I485-J485</f>
        <v/>
      </c>
      <c r="R485" s="15">
        <f>IF(K485&gt;20, "BREACH", "OK")</f>
        <v/>
      </c>
    </row>
    <row r="486">
      <c r="A486" t="inlineStr">
        <is>
          <t>ORD01527</t>
        </is>
      </c>
      <c r="B486" t="inlineStr">
        <is>
          <t>CUST0040</t>
        </is>
      </c>
      <c r="C486" t="inlineStr">
        <is>
          <t>PROD100</t>
        </is>
      </c>
      <c r="D486" t="inlineStr">
        <is>
          <t>STORE028</t>
        </is>
      </c>
      <c r="E486" t="inlineStr">
        <is>
          <t>DP030</t>
        </is>
      </c>
      <c r="F486" t="inlineStr">
        <is>
          <t>2024-10-31 16:55:00</t>
        </is>
      </c>
      <c r="G486" t="inlineStr">
        <is>
          <t>2024-10-31 17:24:00</t>
        </is>
      </c>
      <c r="H486" s="14" t="n">
        <v>10</v>
      </c>
      <c r="I486" s="13" t="n">
        <v>4926.9</v>
      </c>
      <c r="J486" s="13" t="n">
        <v>1192.72</v>
      </c>
      <c r="K486" s="16" t="n">
        <v>29</v>
      </c>
      <c r="L486" t="inlineStr">
        <is>
          <t>Pending</t>
        </is>
      </c>
      <c r="M486" t="inlineStr">
        <is>
          <t>PAY05</t>
        </is>
      </c>
      <c r="N486" t="inlineStr">
        <is>
          <t>Afternoon</t>
        </is>
      </c>
      <c r="O486">
        <f>INDEX(Products_Catalog!$B$2:$B$151, MATCH(C486, Products_Catalog!$A$2:$A$151, 0))</f>
        <v/>
      </c>
      <c r="P486" s="13">
        <f>INDEX(Products_Catalog!$D$2:$D$151, MATCH(C486, Products_Catalog!$A$2:$A$151, 0))</f>
        <v/>
      </c>
      <c r="Q486" s="13">
        <f>I486-J486</f>
        <v/>
      </c>
      <c r="R486" s="15">
        <f>IF(K486&gt;20, "BREACH", "OK")</f>
        <v/>
      </c>
    </row>
    <row r="487">
      <c r="A487" t="inlineStr">
        <is>
          <t>ORD01529</t>
        </is>
      </c>
      <c r="B487" t="inlineStr">
        <is>
          <t>CUST0042</t>
        </is>
      </c>
      <c r="C487" t="inlineStr">
        <is>
          <t>PROD082</t>
        </is>
      </c>
      <c r="D487" t="inlineStr">
        <is>
          <t>STORE023</t>
        </is>
      </c>
      <c r="E487" t="inlineStr">
        <is>
          <t>DP006</t>
        </is>
      </c>
      <c r="F487" t="inlineStr">
        <is>
          <t>2024-07-20 14:43:00</t>
        </is>
      </c>
      <c r="G487" t="inlineStr">
        <is>
          <t>2024-07-20 14:56:00</t>
        </is>
      </c>
      <c r="H487" s="14" t="n">
        <v>7</v>
      </c>
      <c r="I487" s="13" t="n">
        <v>2593.08</v>
      </c>
      <c r="J487" s="13" t="n">
        <v>492.98</v>
      </c>
      <c r="K487" s="16" t="n">
        <v>13</v>
      </c>
      <c r="L487" t="inlineStr">
        <is>
          <t>Shipped</t>
        </is>
      </c>
      <c r="M487" t="inlineStr">
        <is>
          <t>PAY04</t>
        </is>
      </c>
      <c r="N487" t="inlineStr">
        <is>
          <t>Afternoon</t>
        </is>
      </c>
      <c r="O487">
        <f>INDEX(Products_Catalog!$B$2:$B$151, MATCH(C487, Products_Catalog!$A$2:$A$151, 0))</f>
        <v/>
      </c>
      <c r="P487" s="13">
        <f>INDEX(Products_Catalog!$D$2:$D$151, MATCH(C487, Products_Catalog!$A$2:$A$151, 0))</f>
        <v/>
      </c>
      <c r="Q487" s="13">
        <f>I487-J487</f>
        <v/>
      </c>
      <c r="R487" s="15">
        <f>IF(K487&gt;20, "BREACH", "OK")</f>
        <v/>
      </c>
    </row>
    <row r="488">
      <c r="A488" t="inlineStr">
        <is>
          <t>ORD01530</t>
        </is>
      </c>
      <c r="B488" t="inlineStr">
        <is>
          <t>CUST0002</t>
        </is>
      </c>
      <c r="C488" t="inlineStr">
        <is>
          <t>PROD141</t>
        </is>
      </c>
      <c r="D488" t="inlineStr">
        <is>
          <t>STORE039</t>
        </is>
      </c>
      <c r="E488" t="inlineStr">
        <is>
          <t>DP014</t>
        </is>
      </c>
      <c r="F488" t="inlineStr">
        <is>
          <t>2024-02-24 10:11:00</t>
        </is>
      </c>
      <c r="G488" t="inlineStr">
        <is>
          <t>2024-02-24 10:21:00</t>
        </is>
      </c>
      <c r="H488" s="14" t="n">
        <v>1</v>
      </c>
      <c r="I488" s="13" t="n">
        <v>452.96</v>
      </c>
      <c r="J488" s="13" t="n">
        <v>42.2</v>
      </c>
      <c r="K488" s="16" t="n">
        <v>10</v>
      </c>
      <c r="L488" t="inlineStr">
        <is>
          <t>Pending</t>
        </is>
      </c>
      <c r="M488" t="inlineStr">
        <is>
          <t>PAY03</t>
        </is>
      </c>
      <c r="N488" t="inlineStr">
        <is>
          <t>Morning</t>
        </is>
      </c>
      <c r="O488">
        <f>INDEX(Products_Catalog!$B$2:$B$151, MATCH(C488, Products_Catalog!$A$2:$A$151, 0))</f>
        <v/>
      </c>
      <c r="P488" s="13">
        <f>INDEX(Products_Catalog!$D$2:$D$151, MATCH(C488, Products_Catalog!$A$2:$A$151, 0))</f>
        <v/>
      </c>
      <c r="Q488" s="13">
        <f>I488-J488</f>
        <v/>
      </c>
      <c r="R488" s="15">
        <f>IF(K488&gt;20, "BREACH", "OK")</f>
        <v/>
      </c>
    </row>
    <row r="489">
      <c r="A489" t="inlineStr">
        <is>
          <t>ORD01532</t>
        </is>
      </c>
      <c r="B489" t="inlineStr">
        <is>
          <t>CUST0034</t>
        </is>
      </c>
      <c r="C489" t="inlineStr">
        <is>
          <t>PROD072</t>
        </is>
      </c>
      <c r="D489" t="inlineStr">
        <is>
          <t>STORE047</t>
        </is>
      </c>
      <c r="E489" t="inlineStr">
        <is>
          <t>DP002</t>
        </is>
      </c>
      <c r="F489" t="inlineStr">
        <is>
          <t>2024-11-27 14:27:00</t>
        </is>
      </c>
      <c r="G489" t="inlineStr">
        <is>
          <t>2024-11-27 14:47:00</t>
        </is>
      </c>
      <c r="H489" s="14" t="n">
        <v>7</v>
      </c>
      <c r="I489" s="13" t="n">
        <v>2791.95</v>
      </c>
      <c r="J489" s="13" t="n">
        <v>337.53</v>
      </c>
      <c r="K489" s="16" t="n">
        <v>20</v>
      </c>
      <c r="L489" t="inlineStr">
        <is>
          <t>Shipped</t>
        </is>
      </c>
      <c r="M489" t="inlineStr">
        <is>
          <t>PAY05</t>
        </is>
      </c>
      <c r="N489" t="inlineStr">
        <is>
          <t>Afternoon</t>
        </is>
      </c>
      <c r="O489">
        <f>INDEX(Products_Catalog!$B$2:$B$151, MATCH(C489, Products_Catalog!$A$2:$A$151, 0))</f>
        <v/>
      </c>
      <c r="P489" s="13">
        <f>INDEX(Products_Catalog!$D$2:$D$151, MATCH(C489, Products_Catalog!$A$2:$A$151, 0))</f>
        <v/>
      </c>
      <c r="Q489" s="13">
        <f>I489-J489</f>
        <v/>
      </c>
      <c r="R489" s="15">
        <f>IF(K489&gt;20, "BREACH", "OK")</f>
        <v/>
      </c>
    </row>
    <row r="490">
      <c r="A490" t="inlineStr">
        <is>
          <t>ORD01533</t>
        </is>
      </c>
      <c r="B490" t="inlineStr">
        <is>
          <t>CUST0004</t>
        </is>
      </c>
      <c r="C490" t="inlineStr">
        <is>
          <t>PROD037</t>
        </is>
      </c>
      <c r="D490" t="inlineStr">
        <is>
          <t>STORE023</t>
        </is>
      </c>
      <c r="E490" t="inlineStr">
        <is>
          <t>DP022</t>
        </is>
      </c>
      <c r="F490" t="inlineStr">
        <is>
          <t>2025-06-06 13:33:00</t>
        </is>
      </c>
      <c r="G490" t="inlineStr">
        <is>
          <t>2025-06-06 13:58:00</t>
        </is>
      </c>
      <c r="H490" s="14" t="n">
        <v>8</v>
      </c>
      <c r="I490" s="13" t="n">
        <v>3618.24</v>
      </c>
      <c r="J490" s="13" t="n">
        <v>442.57</v>
      </c>
      <c r="K490" s="16" t="n">
        <v>25</v>
      </c>
      <c r="L490" t="inlineStr">
        <is>
          <t>Shipped</t>
        </is>
      </c>
      <c r="M490" t="inlineStr">
        <is>
          <t>PAY03</t>
        </is>
      </c>
      <c r="N490" t="inlineStr">
        <is>
          <t>Afternoon</t>
        </is>
      </c>
      <c r="O490">
        <f>INDEX(Products_Catalog!$B$2:$B$151, MATCH(C490, Products_Catalog!$A$2:$A$151, 0))</f>
        <v/>
      </c>
      <c r="P490" s="13">
        <f>INDEX(Products_Catalog!$D$2:$D$151, MATCH(C490, Products_Catalog!$A$2:$A$151, 0))</f>
        <v/>
      </c>
      <c r="Q490" s="13">
        <f>I490-J490</f>
        <v/>
      </c>
      <c r="R490" s="15">
        <f>IF(K490&gt;20, "BREACH", "OK")</f>
        <v/>
      </c>
    </row>
    <row r="491">
      <c r="A491" t="inlineStr">
        <is>
          <t>ORD01534</t>
        </is>
      </c>
      <c r="B491" t="inlineStr">
        <is>
          <t>CUST0014</t>
        </is>
      </c>
      <c r="C491" t="inlineStr">
        <is>
          <t>PROD005</t>
        </is>
      </c>
      <c r="D491" t="inlineStr">
        <is>
          <t>STORE012</t>
        </is>
      </c>
      <c r="E491" t="inlineStr">
        <is>
          <t>DP048</t>
        </is>
      </c>
      <c r="F491" t="inlineStr">
        <is>
          <t>2024-05-03 10:12:00</t>
        </is>
      </c>
      <c r="G491" t="inlineStr">
        <is>
          <t>2024-05-03 10:42:00</t>
        </is>
      </c>
      <c r="H491" s="14" t="n">
        <v>10</v>
      </c>
      <c r="I491" s="13" t="n">
        <v>4631.2</v>
      </c>
      <c r="J491" s="13" t="n">
        <v>347.77</v>
      </c>
      <c r="K491" s="16" t="n">
        <v>30</v>
      </c>
      <c r="L491" t="inlineStr">
        <is>
          <t>Delivered</t>
        </is>
      </c>
      <c r="M491" t="inlineStr">
        <is>
          <t>PAY04</t>
        </is>
      </c>
      <c r="N491" t="inlineStr">
        <is>
          <t>Morning</t>
        </is>
      </c>
      <c r="O491">
        <f>INDEX(Products_Catalog!$B$2:$B$151, MATCH(C491, Products_Catalog!$A$2:$A$151, 0))</f>
        <v/>
      </c>
      <c r="P491" s="13">
        <f>INDEX(Products_Catalog!$D$2:$D$151, MATCH(C491, Products_Catalog!$A$2:$A$151, 0))</f>
        <v/>
      </c>
      <c r="Q491" s="13">
        <f>I491-J491</f>
        <v/>
      </c>
      <c r="R491" s="15">
        <f>IF(K491&gt;20, "BREACH", "OK")</f>
        <v/>
      </c>
    </row>
    <row r="492">
      <c r="A492" t="inlineStr">
        <is>
          <t>ORD01535</t>
        </is>
      </c>
      <c r="B492" t="inlineStr">
        <is>
          <t>CUST0005</t>
        </is>
      </c>
      <c r="C492" t="inlineStr">
        <is>
          <t>PROD103</t>
        </is>
      </c>
      <c r="D492" t="inlineStr">
        <is>
          <t>STORE046</t>
        </is>
      </c>
      <c r="E492" t="inlineStr">
        <is>
          <t>DP021</t>
        </is>
      </c>
      <c r="F492" t="inlineStr">
        <is>
          <t>2024-11-24 15:07:00</t>
        </is>
      </c>
      <c r="G492" t="inlineStr">
        <is>
          <t>2024-11-24 15:22:00</t>
        </is>
      </c>
      <c r="H492" s="14" t="n">
        <v>10</v>
      </c>
      <c r="I492" s="13" t="n">
        <v>852</v>
      </c>
      <c r="J492" s="13" t="n">
        <v>213.11</v>
      </c>
      <c r="K492" s="16" t="n">
        <v>15</v>
      </c>
      <c r="L492" t="inlineStr">
        <is>
          <t>Shipped</t>
        </is>
      </c>
      <c r="M492" t="inlineStr">
        <is>
          <t>PAY05</t>
        </is>
      </c>
      <c r="N492" t="inlineStr">
        <is>
          <t>Afternoon</t>
        </is>
      </c>
      <c r="O492">
        <f>INDEX(Products_Catalog!$B$2:$B$151, MATCH(C492, Products_Catalog!$A$2:$A$151, 0))</f>
        <v/>
      </c>
      <c r="P492" s="13">
        <f>INDEX(Products_Catalog!$D$2:$D$151, MATCH(C492, Products_Catalog!$A$2:$A$151, 0))</f>
        <v/>
      </c>
      <c r="Q492" s="13">
        <f>I492-J492</f>
        <v/>
      </c>
      <c r="R492" s="15">
        <f>IF(K492&gt;20, "BREACH", "OK")</f>
        <v/>
      </c>
    </row>
    <row r="493">
      <c r="A493" t="inlineStr">
        <is>
          <t>ORD01536</t>
        </is>
      </c>
      <c r="B493" t="inlineStr">
        <is>
          <t>CUST0017</t>
        </is>
      </c>
      <c r="C493" t="inlineStr">
        <is>
          <t>PROD009</t>
        </is>
      </c>
      <c r="D493" t="inlineStr">
        <is>
          <t>STORE021</t>
        </is>
      </c>
      <c r="E493" t="inlineStr">
        <is>
          <t>DP037</t>
        </is>
      </c>
      <c r="F493" t="inlineStr">
        <is>
          <t>2024-11-10 16:17:00</t>
        </is>
      </c>
      <c r="G493" t="inlineStr">
        <is>
          <t>2024-11-10 16:33:00</t>
        </is>
      </c>
      <c r="H493" s="14" t="n">
        <v>4</v>
      </c>
      <c r="I493" s="13" t="n">
        <v>1126.16</v>
      </c>
      <c r="J493" s="13" t="n">
        <v>131.57</v>
      </c>
      <c r="K493" s="16" t="n">
        <v>16</v>
      </c>
      <c r="L493" t="inlineStr">
        <is>
          <t>Shipped</t>
        </is>
      </c>
      <c r="M493" t="inlineStr">
        <is>
          <t>PAY03</t>
        </is>
      </c>
      <c r="N493" t="inlineStr">
        <is>
          <t>Afternoon</t>
        </is>
      </c>
      <c r="O493">
        <f>INDEX(Products_Catalog!$B$2:$B$151, MATCH(C493, Products_Catalog!$A$2:$A$151, 0))</f>
        <v/>
      </c>
      <c r="P493" s="13">
        <f>INDEX(Products_Catalog!$D$2:$D$151, MATCH(C493, Products_Catalog!$A$2:$A$151, 0))</f>
        <v/>
      </c>
      <c r="Q493" s="13">
        <f>I493-J493</f>
        <v/>
      </c>
      <c r="R493" s="15">
        <f>IF(K493&gt;20, "BREACH", "OK")</f>
        <v/>
      </c>
    </row>
    <row r="494">
      <c r="A494" t="inlineStr">
        <is>
          <t>ORD01537</t>
        </is>
      </c>
      <c r="B494" t="inlineStr">
        <is>
          <t>CUST0018</t>
        </is>
      </c>
      <c r="C494" t="inlineStr">
        <is>
          <t>PROD116</t>
        </is>
      </c>
      <c r="D494" t="inlineStr">
        <is>
          <t>STORE014</t>
        </is>
      </c>
      <c r="E494" t="inlineStr">
        <is>
          <t>DP001</t>
        </is>
      </c>
      <c r="F494" t="inlineStr">
        <is>
          <t>2025-01-15 13:49:00</t>
        </is>
      </c>
      <c r="G494" t="inlineStr">
        <is>
          <t>2025-01-15 14:06:00</t>
        </is>
      </c>
      <c r="H494" s="14" t="n">
        <v>4</v>
      </c>
      <c r="I494" s="13" t="n">
        <v>596.96</v>
      </c>
      <c r="J494" s="13" t="n">
        <v>77.05</v>
      </c>
      <c r="K494" s="16" t="n">
        <v>17</v>
      </c>
      <c r="L494" t="inlineStr">
        <is>
          <t>Cancelled</t>
        </is>
      </c>
      <c r="M494" t="inlineStr">
        <is>
          <t>PAY04</t>
        </is>
      </c>
      <c r="N494" t="inlineStr">
        <is>
          <t>Afternoon</t>
        </is>
      </c>
      <c r="O494">
        <f>INDEX(Products_Catalog!$B$2:$B$151, MATCH(C494, Products_Catalog!$A$2:$A$151, 0))</f>
        <v/>
      </c>
      <c r="P494" s="13">
        <f>INDEX(Products_Catalog!$D$2:$D$151, MATCH(C494, Products_Catalog!$A$2:$A$151, 0))</f>
        <v/>
      </c>
      <c r="Q494" s="13">
        <f>I494-J494</f>
        <v/>
      </c>
      <c r="R494" s="15">
        <f>IF(K494&gt;20, "BREACH", "OK")</f>
        <v/>
      </c>
    </row>
    <row r="495">
      <c r="A495" t="inlineStr">
        <is>
          <t>ORD01538</t>
        </is>
      </c>
      <c r="B495" t="inlineStr">
        <is>
          <t>CUST0012</t>
        </is>
      </c>
      <c r="C495" t="inlineStr">
        <is>
          <t>PROD033</t>
        </is>
      </c>
      <c r="D495" t="inlineStr">
        <is>
          <t>STORE009</t>
        </is>
      </c>
      <c r="E495" t="inlineStr">
        <is>
          <t>DP003</t>
        </is>
      </c>
      <c r="F495" t="inlineStr">
        <is>
          <t>2024-01-24 12:29:00</t>
        </is>
      </c>
      <c r="G495" t="inlineStr">
        <is>
          <t>2024-01-24 12:47:00</t>
        </is>
      </c>
      <c r="H495" s="14" t="n">
        <v>10</v>
      </c>
      <c r="I495" s="13" t="n">
        <v>3928.2</v>
      </c>
      <c r="J495" s="13" t="n">
        <v>411.53</v>
      </c>
      <c r="K495" s="16" t="n">
        <v>18</v>
      </c>
      <c r="L495" t="inlineStr">
        <is>
          <t>Returned</t>
        </is>
      </c>
      <c r="M495" t="inlineStr">
        <is>
          <t>PAY05</t>
        </is>
      </c>
      <c r="N495" t="inlineStr">
        <is>
          <t>Afternoon</t>
        </is>
      </c>
      <c r="O495">
        <f>INDEX(Products_Catalog!$B$2:$B$151, MATCH(C495, Products_Catalog!$A$2:$A$151, 0))</f>
        <v/>
      </c>
      <c r="P495" s="13">
        <f>INDEX(Products_Catalog!$D$2:$D$151, MATCH(C495, Products_Catalog!$A$2:$A$151, 0))</f>
        <v/>
      </c>
      <c r="Q495" s="13">
        <f>I495-J495</f>
        <v/>
      </c>
      <c r="R495" s="15">
        <f>IF(K495&gt;20, "BREACH", "OK")</f>
        <v/>
      </c>
    </row>
    <row r="496">
      <c r="A496" t="inlineStr">
        <is>
          <t>ORD01539</t>
        </is>
      </c>
      <c r="B496" t="inlineStr">
        <is>
          <t>CUST0042</t>
        </is>
      </c>
      <c r="C496" t="inlineStr">
        <is>
          <t>PROD065</t>
        </is>
      </c>
      <c r="D496" t="inlineStr">
        <is>
          <t>STORE037</t>
        </is>
      </c>
      <c r="E496" t="inlineStr">
        <is>
          <t>DP008</t>
        </is>
      </c>
      <c r="F496" t="inlineStr">
        <is>
          <t>2025-02-04 18:44:00</t>
        </is>
      </c>
      <c r="G496" t="inlineStr">
        <is>
          <t>2025-02-04 19:03:00</t>
        </is>
      </c>
      <c r="H496" s="14" t="n">
        <v>1</v>
      </c>
      <c r="I496" s="13" t="n">
        <v>129.08</v>
      </c>
      <c r="J496" s="13" t="n">
        <v>15.19</v>
      </c>
      <c r="K496" s="16" t="n">
        <v>19</v>
      </c>
      <c r="L496" t="inlineStr">
        <is>
          <t>Cancelled</t>
        </is>
      </c>
      <c r="M496" t="inlineStr">
        <is>
          <t>PAY04</t>
        </is>
      </c>
      <c r="N496" t="inlineStr">
        <is>
          <t>Evening</t>
        </is>
      </c>
      <c r="O496">
        <f>INDEX(Products_Catalog!$B$2:$B$151, MATCH(C496, Products_Catalog!$A$2:$A$151, 0))</f>
        <v/>
      </c>
      <c r="P496" s="13">
        <f>INDEX(Products_Catalog!$D$2:$D$151, MATCH(C496, Products_Catalog!$A$2:$A$151, 0))</f>
        <v/>
      </c>
      <c r="Q496" s="13">
        <f>I496-J496</f>
        <v/>
      </c>
      <c r="R496" s="15">
        <f>IF(K496&gt;20, "BREACH", "OK")</f>
        <v/>
      </c>
    </row>
    <row r="497">
      <c r="A497" t="inlineStr">
        <is>
          <t>ORD01540</t>
        </is>
      </c>
      <c r="B497" t="inlineStr">
        <is>
          <t>CUST0015</t>
        </is>
      </c>
      <c r="C497" t="inlineStr">
        <is>
          <t>PROD056</t>
        </is>
      </c>
      <c r="D497" t="inlineStr">
        <is>
          <t>STORE047</t>
        </is>
      </c>
      <c r="E497" t="inlineStr">
        <is>
          <t>DP049</t>
        </is>
      </c>
      <c r="F497" t="inlineStr">
        <is>
          <t>2025-04-13 14:18:00</t>
        </is>
      </c>
      <c r="G497" t="inlineStr">
        <is>
          <t>2025-04-13 14:38:00</t>
        </is>
      </c>
      <c r="H497" s="14" t="n">
        <v>2</v>
      </c>
      <c r="I497" s="13" t="n">
        <v>155.88</v>
      </c>
      <c r="J497" s="13" t="n">
        <v>10.37</v>
      </c>
      <c r="K497" s="16" t="n">
        <v>20</v>
      </c>
      <c r="L497" t="inlineStr">
        <is>
          <t>Delivered</t>
        </is>
      </c>
      <c r="M497" t="inlineStr">
        <is>
          <t>PAY05</t>
        </is>
      </c>
      <c r="N497" t="inlineStr">
        <is>
          <t>Afternoon</t>
        </is>
      </c>
      <c r="O497">
        <f>INDEX(Products_Catalog!$B$2:$B$151, MATCH(C497, Products_Catalog!$A$2:$A$151, 0))</f>
        <v/>
      </c>
      <c r="P497" s="13">
        <f>INDEX(Products_Catalog!$D$2:$D$151, MATCH(C497, Products_Catalog!$A$2:$A$151, 0))</f>
        <v/>
      </c>
      <c r="Q497" s="13">
        <f>I497-J497</f>
        <v/>
      </c>
      <c r="R497" s="15">
        <f>IF(K497&gt;20, "BREACH", "OK")</f>
        <v/>
      </c>
    </row>
    <row r="498">
      <c r="A498" t="inlineStr">
        <is>
          <t>ORD01541</t>
        </is>
      </c>
      <c r="B498" t="inlineStr">
        <is>
          <t>CUST0040</t>
        </is>
      </c>
      <c r="C498" t="inlineStr">
        <is>
          <t>PROD124</t>
        </is>
      </c>
      <c r="D498" t="inlineStr">
        <is>
          <t>STORE020</t>
        </is>
      </c>
      <c r="E498" t="inlineStr">
        <is>
          <t>DP039</t>
        </is>
      </c>
      <c r="F498" t="inlineStr">
        <is>
          <t>2025-02-21 11:46:00</t>
        </is>
      </c>
      <c r="G498" t="inlineStr">
        <is>
          <t>2025-02-21 12:07:00</t>
        </is>
      </c>
      <c r="H498" s="14" t="n">
        <v>10</v>
      </c>
      <c r="I498" s="13" t="n">
        <v>1494.1</v>
      </c>
      <c r="J498" s="13" t="n">
        <v>321.55</v>
      </c>
      <c r="K498" s="16" t="n">
        <v>21</v>
      </c>
      <c r="L498" t="inlineStr">
        <is>
          <t>Pending</t>
        </is>
      </c>
      <c r="M498" t="inlineStr">
        <is>
          <t>PAY03</t>
        </is>
      </c>
      <c r="N498" t="inlineStr">
        <is>
          <t>Morning</t>
        </is>
      </c>
      <c r="O498">
        <f>INDEX(Products_Catalog!$B$2:$B$151, MATCH(C498, Products_Catalog!$A$2:$A$151, 0))</f>
        <v/>
      </c>
      <c r="P498" s="13">
        <f>INDEX(Products_Catalog!$D$2:$D$151, MATCH(C498, Products_Catalog!$A$2:$A$151, 0))</f>
        <v/>
      </c>
      <c r="Q498" s="13">
        <f>I498-J498</f>
        <v/>
      </c>
      <c r="R498" s="15">
        <f>IF(K498&gt;20, "BREACH", "OK")</f>
        <v/>
      </c>
    </row>
    <row r="499">
      <c r="A499" t="inlineStr">
        <is>
          <t>ORD01542</t>
        </is>
      </c>
      <c r="B499" t="inlineStr">
        <is>
          <t>CUST0046</t>
        </is>
      </c>
      <c r="C499" t="inlineStr">
        <is>
          <t>PROD062</t>
        </is>
      </c>
      <c r="D499" t="inlineStr">
        <is>
          <t>STORE003</t>
        </is>
      </c>
      <c r="E499" t="inlineStr">
        <is>
          <t>DP044</t>
        </is>
      </c>
      <c r="F499" t="inlineStr">
        <is>
          <t>2024-08-18 18:05:00</t>
        </is>
      </c>
      <c r="G499" t="inlineStr">
        <is>
          <t>2024-08-18 18:27:00</t>
        </is>
      </c>
      <c r="H499" s="14" t="n">
        <v>9</v>
      </c>
      <c r="I499" s="13" t="n">
        <v>892.98</v>
      </c>
      <c r="J499" s="13" t="n">
        <v>55.64</v>
      </c>
      <c r="K499" s="16" t="n">
        <v>22</v>
      </c>
      <c r="L499" t="inlineStr">
        <is>
          <t>Cancelled</t>
        </is>
      </c>
      <c r="M499" t="inlineStr">
        <is>
          <t>PAY05</t>
        </is>
      </c>
      <c r="N499" t="inlineStr">
        <is>
          <t>Evening</t>
        </is>
      </c>
      <c r="O499">
        <f>INDEX(Products_Catalog!$B$2:$B$151, MATCH(C499, Products_Catalog!$A$2:$A$151, 0))</f>
        <v/>
      </c>
      <c r="P499" s="13">
        <f>INDEX(Products_Catalog!$D$2:$D$151, MATCH(C499, Products_Catalog!$A$2:$A$151, 0))</f>
        <v/>
      </c>
      <c r="Q499" s="13">
        <f>I499-J499</f>
        <v/>
      </c>
      <c r="R499" s="15">
        <f>IF(K499&gt;20, "BREACH", "OK")</f>
        <v/>
      </c>
    </row>
    <row r="500">
      <c r="A500" t="inlineStr">
        <is>
          <t>ORD01543</t>
        </is>
      </c>
      <c r="B500" t="inlineStr">
        <is>
          <t>CUST0010</t>
        </is>
      </c>
      <c r="C500" t="inlineStr">
        <is>
          <t>PROD125</t>
        </is>
      </c>
      <c r="D500" t="inlineStr">
        <is>
          <t>STORE028</t>
        </is>
      </c>
      <c r="E500" t="inlineStr">
        <is>
          <t>DP011</t>
        </is>
      </c>
      <c r="F500" t="inlineStr">
        <is>
          <t>2024-01-29 18:26:00</t>
        </is>
      </c>
      <c r="G500" t="inlineStr">
        <is>
          <t>2024-01-29 18:49:00</t>
        </is>
      </c>
      <c r="H500" s="14" t="n">
        <v>10</v>
      </c>
      <c r="I500" s="13" t="n">
        <v>1178.4</v>
      </c>
      <c r="J500" s="13" t="n">
        <v>192.13</v>
      </c>
      <c r="K500" s="16" t="n">
        <v>23</v>
      </c>
      <c r="L500" t="inlineStr">
        <is>
          <t>Shipped</t>
        </is>
      </c>
      <c r="M500" t="inlineStr">
        <is>
          <t>PAY03</t>
        </is>
      </c>
      <c r="N500" t="inlineStr">
        <is>
          <t>Evening</t>
        </is>
      </c>
      <c r="O500">
        <f>INDEX(Products_Catalog!$B$2:$B$151, MATCH(C500, Products_Catalog!$A$2:$A$151, 0))</f>
        <v/>
      </c>
      <c r="P500" s="13">
        <f>INDEX(Products_Catalog!$D$2:$D$151, MATCH(C500, Products_Catalog!$A$2:$A$151, 0))</f>
        <v/>
      </c>
      <c r="Q500" s="13">
        <f>I500-J500</f>
        <v/>
      </c>
      <c r="R500" s="15">
        <f>IF(K500&gt;20, "BREACH", "OK")</f>
        <v/>
      </c>
    </row>
    <row r="501">
      <c r="A501" t="inlineStr">
        <is>
          <t>ORD01544</t>
        </is>
      </c>
      <c r="B501" t="inlineStr">
        <is>
          <t>CUST0004</t>
        </is>
      </c>
      <c r="C501" t="inlineStr">
        <is>
          <t>PROD113</t>
        </is>
      </c>
      <c r="D501" t="inlineStr">
        <is>
          <t>STORE017</t>
        </is>
      </c>
      <c r="E501" t="inlineStr">
        <is>
          <t>DP017</t>
        </is>
      </c>
      <c r="F501" t="inlineStr">
        <is>
          <t>2025-06-22 16:52:00</t>
        </is>
      </c>
      <c r="G501" t="inlineStr">
        <is>
          <t>2025-06-22 17:16:00</t>
        </is>
      </c>
      <c r="H501" s="14" t="n">
        <v>8</v>
      </c>
      <c r="I501" s="13" t="n">
        <v>1901.36</v>
      </c>
      <c r="J501" s="13" t="n">
        <v>103.06</v>
      </c>
      <c r="K501" s="16" t="n">
        <v>24</v>
      </c>
      <c r="L501" t="inlineStr">
        <is>
          <t>Returned</t>
        </is>
      </c>
      <c r="M501" t="inlineStr">
        <is>
          <t>PAY01</t>
        </is>
      </c>
      <c r="N501" t="inlineStr">
        <is>
          <t>Afternoon</t>
        </is>
      </c>
      <c r="O501">
        <f>INDEX(Products_Catalog!$B$2:$B$151, MATCH(C501, Products_Catalog!$A$2:$A$151, 0))</f>
        <v/>
      </c>
      <c r="P501" s="13">
        <f>INDEX(Products_Catalog!$D$2:$D$151, MATCH(C501, Products_Catalog!$A$2:$A$151, 0))</f>
        <v/>
      </c>
      <c r="Q501" s="13">
        <f>I501-J501</f>
        <v/>
      </c>
      <c r="R501" s="15">
        <f>IF(K501&gt;20, "BREACH", "OK")</f>
        <v/>
      </c>
    </row>
    <row r="502">
      <c r="A502" t="inlineStr">
        <is>
          <t>ORD01545</t>
        </is>
      </c>
      <c r="B502" t="inlineStr">
        <is>
          <t>CUST0007</t>
        </is>
      </c>
      <c r="C502" t="inlineStr">
        <is>
          <t>PROD093</t>
        </is>
      </c>
      <c r="D502" t="inlineStr">
        <is>
          <t>STORE032</t>
        </is>
      </c>
      <c r="E502" t="inlineStr">
        <is>
          <t>DP035</t>
        </is>
      </c>
      <c r="F502" t="inlineStr">
        <is>
          <t>2024-02-01 16:28:00</t>
        </is>
      </c>
      <c r="G502" t="inlineStr">
        <is>
          <t>2024-02-01 16:53:00</t>
        </is>
      </c>
      <c r="H502" s="14" t="n">
        <v>4</v>
      </c>
      <c r="I502" s="13" t="n">
        <v>676.6</v>
      </c>
      <c r="J502" s="13" t="n">
        <v>84.15000000000001</v>
      </c>
      <c r="K502" s="16" t="n">
        <v>25</v>
      </c>
      <c r="L502" t="inlineStr">
        <is>
          <t>Returned</t>
        </is>
      </c>
      <c r="M502" t="inlineStr">
        <is>
          <t>PAY02</t>
        </is>
      </c>
      <c r="N502" t="inlineStr">
        <is>
          <t>Afternoon</t>
        </is>
      </c>
      <c r="O502">
        <f>INDEX(Products_Catalog!$B$2:$B$151, MATCH(C502, Products_Catalog!$A$2:$A$151, 0))</f>
        <v/>
      </c>
      <c r="P502" s="13">
        <f>INDEX(Products_Catalog!$D$2:$D$151, MATCH(C502, Products_Catalog!$A$2:$A$151, 0))</f>
        <v/>
      </c>
      <c r="Q502" s="13">
        <f>I502-J502</f>
        <v/>
      </c>
      <c r="R502" s="15">
        <f>IF(K502&gt;20, "BREACH", "OK")</f>
        <v/>
      </c>
    </row>
    <row r="503">
      <c r="A503" t="inlineStr">
        <is>
          <t>ORD01546</t>
        </is>
      </c>
      <c r="B503" t="inlineStr">
        <is>
          <t>CUST0005</t>
        </is>
      </c>
      <c r="C503" t="inlineStr">
        <is>
          <t>PROD012</t>
        </is>
      </c>
      <c r="D503" t="inlineStr">
        <is>
          <t>STORE029</t>
        </is>
      </c>
      <c r="E503" t="inlineStr">
        <is>
          <t>DP028</t>
        </is>
      </c>
      <c r="F503" t="inlineStr">
        <is>
          <t>2024-10-25 07:52:00</t>
        </is>
      </c>
      <c r="G503" t="inlineStr">
        <is>
          <t>2024-10-25 08:18:00</t>
        </is>
      </c>
      <c r="H503" s="14" t="n">
        <v>3</v>
      </c>
      <c r="I503" s="13" t="n">
        <v>1175.82</v>
      </c>
      <c r="J503" s="13" t="n">
        <v>60.35</v>
      </c>
      <c r="K503" s="16" t="n">
        <v>26</v>
      </c>
      <c r="L503" t="inlineStr">
        <is>
          <t>Pending</t>
        </is>
      </c>
      <c r="M503" t="inlineStr">
        <is>
          <t>PAY03</t>
        </is>
      </c>
      <c r="N503" t="inlineStr">
        <is>
          <t>Morning</t>
        </is>
      </c>
      <c r="O503">
        <f>INDEX(Products_Catalog!$B$2:$B$151, MATCH(C503, Products_Catalog!$A$2:$A$151, 0))</f>
        <v/>
      </c>
      <c r="P503" s="13">
        <f>INDEX(Products_Catalog!$D$2:$D$151, MATCH(C503, Products_Catalog!$A$2:$A$151, 0))</f>
        <v/>
      </c>
      <c r="Q503" s="13">
        <f>I503-J503</f>
        <v/>
      </c>
      <c r="R503" s="15">
        <f>IF(K503&gt;20, "BREACH", "OK")</f>
        <v/>
      </c>
    </row>
    <row r="504">
      <c r="A504" t="inlineStr">
        <is>
          <t>ORD01547</t>
        </is>
      </c>
      <c r="B504" t="inlineStr">
        <is>
          <t>CUST0021</t>
        </is>
      </c>
      <c r="C504" t="inlineStr">
        <is>
          <t>PROD150</t>
        </is>
      </c>
      <c r="D504" t="inlineStr">
        <is>
          <t>STORE002</t>
        </is>
      </c>
      <c r="E504" t="inlineStr">
        <is>
          <t>DP017</t>
        </is>
      </c>
      <c r="F504" t="inlineStr">
        <is>
          <t>2025-02-14 16:57:00</t>
        </is>
      </c>
      <c r="G504" t="inlineStr">
        <is>
          <t>2025-02-14 17:24:00</t>
        </is>
      </c>
      <c r="H504" s="14" t="n">
        <v>10</v>
      </c>
      <c r="I504" s="13" t="n">
        <v>4425.7</v>
      </c>
      <c r="J504" s="13" t="n">
        <v>541.51</v>
      </c>
      <c r="K504" s="16" t="n">
        <v>27</v>
      </c>
      <c r="L504" t="inlineStr">
        <is>
          <t>Returned</t>
        </is>
      </c>
      <c r="M504" t="inlineStr">
        <is>
          <t>PAY02</t>
        </is>
      </c>
      <c r="N504" t="inlineStr">
        <is>
          <t>Afternoon</t>
        </is>
      </c>
      <c r="O504">
        <f>INDEX(Products_Catalog!$B$2:$B$151, MATCH(C504, Products_Catalog!$A$2:$A$151, 0))</f>
        <v/>
      </c>
      <c r="P504" s="13">
        <f>INDEX(Products_Catalog!$D$2:$D$151, MATCH(C504, Products_Catalog!$A$2:$A$151, 0))</f>
        <v/>
      </c>
      <c r="Q504" s="13">
        <f>I504-J504</f>
        <v/>
      </c>
      <c r="R504" s="15">
        <f>IF(K504&gt;20, "BREACH", "OK")</f>
        <v/>
      </c>
    </row>
    <row r="505">
      <c r="A505" t="inlineStr">
        <is>
          <t>ORD01548</t>
        </is>
      </c>
      <c r="B505" t="inlineStr">
        <is>
          <t>CUST0008</t>
        </is>
      </c>
      <c r="C505" t="inlineStr">
        <is>
          <t>PROD082</t>
        </is>
      </c>
      <c r="D505" t="inlineStr">
        <is>
          <t>STORE025</t>
        </is>
      </c>
      <c r="E505" t="inlineStr">
        <is>
          <t>DP033</t>
        </is>
      </c>
      <c r="F505" t="inlineStr">
        <is>
          <t>2024-08-15 09:10:00</t>
        </is>
      </c>
      <c r="G505" t="inlineStr">
        <is>
          <t>2024-08-15 09:38:00</t>
        </is>
      </c>
      <c r="H505" s="14" t="n">
        <v>5</v>
      </c>
      <c r="I505" s="13" t="n">
        <v>2095.6</v>
      </c>
      <c r="J505" s="13" t="n">
        <v>548.25</v>
      </c>
      <c r="K505" s="16" t="n">
        <v>28</v>
      </c>
      <c r="L505" t="inlineStr">
        <is>
          <t>Delivered</t>
        </is>
      </c>
      <c r="M505" t="inlineStr">
        <is>
          <t>PAY04</t>
        </is>
      </c>
      <c r="N505" t="inlineStr">
        <is>
          <t>Morning</t>
        </is>
      </c>
      <c r="O505">
        <f>INDEX(Products_Catalog!$B$2:$B$151, MATCH(C505, Products_Catalog!$A$2:$A$151, 0))</f>
        <v/>
      </c>
      <c r="P505" s="13">
        <f>INDEX(Products_Catalog!$D$2:$D$151, MATCH(C505, Products_Catalog!$A$2:$A$151, 0))</f>
        <v/>
      </c>
      <c r="Q505" s="13">
        <f>I505-J505</f>
        <v/>
      </c>
      <c r="R505" s="15">
        <f>IF(K505&gt;20, "BREACH", "OK")</f>
        <v/>
      </c>
    </row>
    <row r="506">
      <c r="A506" t="inlineStr">
        <is>
          <t>ORD01549</t>
        </is>
      </c>
      <c r="B506" t="inlineStr">
        <is>
          <t>CUST0001</t>
        </is>
      </c>
      <c r="C506" t="inlineStr">
        <is>
          <t>PROD074</t>
        </is>
      </c>
      <c r="D506" t="inlineStr">
        <is>
          <t>STORE030</t>
        </is>
      </c>
      <c r="E506" t="inlineStr">
        <is>
          <t>DP039</t>
        </is>
      </c>
      <c r="F506" t="inlineStr">
        <is>
          <t>2024-01-30 09:32:00</t>
        </is>
      </c>
      <c r="G506" t="inlineStr">
        <is>
          <t>2024-01-30 10:01:00</t>
        </is>
      </c>
      <c r="H506" s="14" t="n">
        <v>3</v>
      </c>
      <c r="I506" s="13" t="n">
        <v>1419.21</v>
      </c>
      <c r="J506" s="13" t="n">
        <v>213.25</v>
      </c>
      <c r="K506" s="16" t="n">
        <v>29</v>
      </c>
      <c r="L506" t="inlineStr">
        <is>
          <t>Returned</t>
        </is>
      </c>
      <c r="M506" t="inlineStr">
        <is>
          <t>PAY04</t>
        </is>
      </c>
      <c r="N506" t="inlineStr">
        <is>
          <t>Morning</t>
        </is>
      </c>
      <c r="O506">
        <f>INDEX(Products_Catalog!$B$2:$B$151, MATCH(C506, Products_Catalog!$A$2:$A$151, 0))</f>
        <v/>
      </c>
      <c r="P506" s="13">
        <f>INDEX(Products_Catalog!$D$2:$D$151, MATCH(C506, Products_Catalog!$A$2:$A$151, 0))</f>
        <v/>
      </c>
      <c r="Q506" s="13">
        <f>I506-J506</f>
        <v/>
      </c>
      <c r="R506" s="15">
        <f>IF(K506&gt;20, "BREACH", "OK")</f>
        <v/>
      </c>
    </row>
    <row r="507">
      <c r="A507" t="inlineStr">
        <is>
          <t>ORD01551</t>
        </is>
      </c>
      <c r="B507" t="inlineStr">
        <is>
          <t>CUST0031</t>
        </is>
      </c>
      <c r="C507" t="inlineStr">
        <is>
          <t>PROD061</t>
        </is>
      </c>
      <c r="D507" t="inlineStr">
        <is>
          <t>STORE022</t>
        </is>
      </c>
      <c r="E507" t="inlineStr">
        <is>
          <t>DP048</t>
        </is>
      </c>
      <c r="F507" t="inlineStr">
        <is>
          <t>2024-12-10 19:59:00</t>
        </is>
      </c>
      <c r="G507" t="inlineStr">
        <is>
          <t>2024-12-10 20:19:00</t>
        </is>
      </c>
      <c r="H507" s="14" t="n">
        <v>4</v>
      </c>
      <c r="I507" s="13" t="n">
        <v>1763.96</v>
      </c>
      <c r="J507" s="13" t="n">
        <v>150.43</v>
      </c>
      <c r="K507" s="16" t="n">
        <v>20</v>
      </c>
      <c r="L507" t="inlineStr">
        <is>
          <t>Delivered</t>
        </is>
      </c>
      <c r="M507" t="inlineStr">
        <is>
          <t>PAY01</t>
        </is>
      </c>
      <c r="N507" t="inlineStr">
        <is>
          <t>Evening</t>
        </is>
      </c>
      <c r="O507">
        <f>INDEX(Products_Catalog!$B$2:$B$151, MATCH(C507, Products_Catalog!$A$2:$A$151, 0))</f>
        <v/>
      </c>
      <c r="P507" s="13">
        <f>INDEX(Products_Catalog!$D$2:$D$151, MATCH(C507, Products_Catalog!$A$2:$A$151, 0))</f>
        <v/>
      </c>
      <c r="Q507" s="13">
        <f>I507-J507</f>
        <v/>
      </c>
      <c r="R507" s="15">
        <f>IF(K507&gt;20, "BREACH", "OK")</f>
        <v/>
      </c>
    </row>
    <row r="508">
      <c r="A508" t="inlineStr">
        <is>
          <t>ORD01552</t>
        </is>
      </c>
      <c r="B508" t="inlineStr">
        <is>
          <t>CUST0042</t>
        </is>
      </c>
      <c r="C508" t="inlineStr">
        <is>
          <t>PROD119</t>
        </is>
      </c>
      <c r="D508" t="inlineStr">
        <is>
          <t>STORE005</t>
        </is>
      </c>
      <c r="E508" t="inlineStr">
        <is>
          <t>DP016</t>
        </is>
      </c>
      <c r="F508" t="inlineStr">
        <is>
          <t>2024-10-23 16:40:00</t>
        </is>
      </c>
      <c r="G508" t="inlineStr">
        <is>
          <t>2024-10-23 17:02:00</t>
        </is>
      </c>
      <c r="H508" s="14" t="n">
        <v>5</v>
      </c>
      <c r="I508" s="13" t="n">
        <v>802.85</v>
      </c>
      <c r="J508" s="13" t="n">
        <v>217.15</v>
      </c>
      <c r="K508" s="16" t="n">
        <v>22</v>
      </c>
      <c r="L508" t="inlineStr">
        <is>
          <t>Returned</t>
        </is>
      </c>
      <c r="M508" t="inlineStr">
        <is>
          <t>PAY04</t>
        </is>
      </c>
      <c r="N508" t="inlineStr">
        <is>
          <t>Afternoon</t>
        </is>
      </c>
      <c r="O508">
        <f>INDEX(Products_Catalog!$B$2:$B$151, MATCH(C508, Products_Catalog!$A$2:$A$151, 0))</f>
        <v/>
      </c>
      <c r="P508" s="13">
        <f>INDEX(Products_Catalog!$D$2:$D$151, MATCH(C508, Products_Catalog!$A$2:$A$151, 0))</f>
        <v/>
      </c>
      <c r="Q508" s="13">
        <f>I508-J508</f>
        <v/>
      </c>
      <c r="R508" s="15">
        <f>IF(K508&gt;20, "BREACH", "OK")</f>
        <v/>
      </c>
    </row>
    <row r="509">
      <c r="A509" t="inlineStr">
        <is>
          <t>ORD01553</t>
        </is>
      </c>
      <c r="B509" t="inlineStr">
        <is>
          <t>CUST0022</t>
        </is>
      </c>
      <c r="C509" t="inlineStr">
        <is>
          <t>PROD013</t>
        </is>
      </c>
      <c r="D509" t="inlineStr">
        <is>
          <t>STORE044</t>
        </is>
      </c>
      <c r="E509" t="inlineStr">
        <is>
          <t>DP019</t>
        </is>
      </c>
      <c r="F509" t="inlineStr">
        <is>
          <t>2024-09-06 15:12:00</t>
        </is>
      </c>
      <c r="G509" t="inlineStr">
        <is>
          <t>2024-09-06 15:35:00</t>
        </is>
      </c>
      <c r="H509" s="14" t="n">
        <v>10</v>
      </c>
      <c r="I509" s="13" t="n">
        <v>4890.9</v>
      </c>
      <c r="J509" s="13" t="n">
        <v>1265.27</v>
      </c>
      <c r="K509" s="16" t="n">
        <v>23</v>
      </c>
      <c r="L509" t="inlineStr">
        <is>
          <t>Shipped</t>
        </is>
      </c>
      <c r="M509" t="inlineStr">
        <is>
          <t>PAY03</t>
        </is>
      </c>
      <c r="N509" t="inlineStr">
        <is>
          <t>Afternoon</t>
        </is>
      </c>
      <c r="O509">
        <f>INDEX(Products_Catalog!$B$2:$B$151, MATCH(C509, Products_Catalog!$A$2:$A$151, 0))</f>
        <v/>
      </c>
      <c r="P509" s="13">
        <f>INDEX(Products_Catalog!$D$2:$D$151, MATCH(C509, Products_Catalog!$A$2:$A$151, 0))</f>
        <v/>
      </c>
      <c r="Q509" s="13">
        <f>I509-J509</f>
        <v/>
      </c>
      <c r="R509" s="15">
        <f>IF(K509&gt;20, "BREACH", "OK")</f>
        <v/>
      </c>
    </row>
    <row r="510">
      <c r="A510" t="inlineStr">
        <is>
          <t>ORD01555</t>
        </is>
      </c>
      <c r="B510" t="inlineStr">
        <is>
          <t>CUST0016</t>
        </is>
      </c>
      <c r="C510" t="inlineStr">
        <is>
          <t>PROD046</t>
        </is>
      </c>
      <c r="D510" t="inlineStr">
        <is>
          <t>STORE024</t>
        </is>
      </c>
      <c r="E510" t="inlineStr">
        <is>
          <t>DP035</t>
        </is>
      </c>
      <c r="F510" t="inlineStr">
        <is>
          <t>2024-09-21 19:12:00</t>
        </is>
      </c>
      <c r="G510" t="inlineStr">
        <is>
          <t>2024-09-21 19:37:00</t>
        </is>
      </c>
      <c r="H510" s="14" t="n">
        <v>8</v>
      </c>
      <c r="I510" s="13" t="n">
        <v>419.92</v>
      </c>
      <c r="J510" s="13" t="n">
        <v>73.44</v>
      </c>
      <c r="K510" s="16" t="n">
        <v>25</v>
      </c>
      <c r="L510" t="inlineStr">
        <is>
          <t>Pending</t>
        </is>
      </c>
      <c r="M510" t="inlineStr">
        <is>
          <t>PAY01</t>
        </is>
      </c>
      <c r="N510" t="inlineStr">
        <is>
          <t>Evening</t>
        </is>
      </c>
      <c r="O510">
        <f>INDEX(Products_Catalog!$B$2:$B$151, MATCH(C510, Products_Catalog!$A$2:$A$151, 0))</f>
        <v/>
      </c>
      <c r="P510" s="13">
        <f>INDEX(Products_Catalog!$D$2:$D$151, MATCH(C510, Products_Catalog!$A$2:$A$151, 0))</f>
        <v/>
      </c>
      <c r="Q510" s="13">
        <f>I510-J510</f>
        <v/>
      </c>
      <c r="R510" s="15">
        <f>IF(K510&gt;20, "BREACH", "OK")</f>
        <v/>
      </c>
    </row>
    <row r="511">
      <c r="A511" t="inlineStr">
        <is>
          <t>ORD01556</t>
        </is>
      </c>
      <c r="B511" t="inlineStr">
        <is>
          <t>CUST0046</t>
        </is>
      </c>
      <c r="C511" t="inlineStr">
        <is>
          <t>PROD035</t>
        </is>
      </c>
      <c r="D511" t="inlineStr">
        <is>
          <t>STORE050</t>
        </is>
      </c>
      <c r="E511" t="inlineStr">
        <is>
          <t>DP028</t>
        </is>
      </c>
      <c r="F511" t="inlineStr">
        <is>
          <t>2025-02-04 07:53:00</t>
        </is>
      </c>
      <c r="G511" t="inlineStr">
        <is>
          <t>2025-02-04 08:19:00</t>
        </is>
      </c>
      <c r="H511" s="14" t="n">
        <v>6</v>
      </c>
      <c r="I511" s="13" t="n">
        <v>1856.7</v>
      </c>
      <c r="J511" s="13" t="n">
        <v>240.92</v>
      </c>
      <c r="K511" s="16" t="n">
        <v>26</v>
      </c>
      <c r="L511" t="inlineStr">
        <is>
          <t>Returned</t>
        </is>
      </c>
      <c r="M511" t="inlineStr">
        <is>
          <t>PAY05</t>
        </is>
      </c>
      <c r="N511" t="inlineStr">
        <is>
          <t>Morning</t>
        </is>
      </c>
      <c r="O511">
        <f>INDEX(Products_Catalog!$B$2:$B$151, MATCH(C511, Products_Catalog!$A$2:$A$151, 0))</f>
        <v/>
      </c>
      <c r="P511" s="13">
        <f>INDEX(Products_Catalog!$D$2:$D$151, MATCH(C511, Products_Catalog!$A$2:$A$151, 0))</f>
        <v/>
      </c>
      <c r="Q511" s="13">
        <f>I511-J511</f>
        <v/>
      </c>
      <c r="R511" s="15">
        <f>IF(K511&gt;20, "BREACH", "OK")</f>
        <v/>
      </c>
    </row>
    <row r="512">
      <c r="A512" t="inlineStr">
        <is>
          <t>ORD01557</t>
        </is>
      </c>
      <c r="B512" t="inlineStr">
        <is>
          <t>CUST0003</t>
        </is>
      </c>
      <c r="C512" t="inlineStr">
        <is>
          <t>PROD081</t>
        </is>
      </c>
      <c r="D512" t="inlineStr">
        <is>
          <t>STORE050</t>
        </is>
      </c>
      <c r="E512" t="inlineStr">
        <is>
          <t>DP003</t>
        </is>
      </c>
      <c r="F512" t="inlineStr">
        <is>
          <t>2025-03-03 10:43:00</t>
        </is>
      </c>
      <c r="G512" t="inlineStr">
        <is>
          <t>2025-03-03 11:10:00</t>
        </is>
      </c>
      <c r="H512" s="14" t="n">
        <v>8</v>
      </c>
      <c r="I512" s="13" t="n">
        <v>3111.44</v>
      </c>
      <c r="J512" s="13" t="n">
        <v>401.13</v>
      </c>
      <c r="K512" s="16" t="n">
        <v>27</v>
      </c>
      <c r="L512" t="inlineStr">
        <is>
          <t>Cancelled</t>
        </is>
      </c>
      <c r="M512" t="inlineStr">
        <is>
          <t>PAY03</t>
        </is>
      </c>
      <c r="N512" t="inlineStr">
        <is>
          <t>Morning</t>
        </is>
      </c>
      <c r="O512">
        <f>INDEX(Products_Catalog!$B$2:$B$151, MATCH(C512, Products_Catalog!$A$2:$A$151, 0))</f>
        <v/>
      </c>
      <c r="P512" s="13">
        <f>INDEX(Products_Catalog!$D$2:$D$151, MATCH(C512, Products_Catalog!$A$2:$A$151, 0))</f>
        <v/>
      </c>
      <c r="Q512" s="13">
        <f>I512-J512</f>
        <v/>
      </c>
      <c r="R512" s="15">
        <f>IF(K512&gt;20, "BREACH", "OK")</f>
        <v/>
      </c>
    </row>
    <row r="513">
      <c r="A513" t="inlineStr">
        <is>
          <t>ORD01558</t>
        </is>
      </c>
      <c r="B513" t="inlineStr">
        <is>
          <t>CUST0030</t>
        </is>
      </c>
      <c r="C513" t="inlineStr">
        <is>
          <t>PROD057</t>
        </is>
      </c>
      <c r="D513" t="inlineStr">
        <is>
          <t>STORE027</t>
        </is>
      </c>
      <c r="E513" t="inlineStr">
        <is>
          <t>DP018</t>
        </is>
      </c>
      <c r="F513" t="inlineStr">
        <is>
          <t>2024-06-06 17:14:00</t>
        </is>
      </c>
      <c r="G513" t="inlineStr">
        <is>
          <t>2024-06-06 17:42:00</t>
        </is>
      </c>
      <c r="H513" s="14" t="n">
        <v>10</v>
      </c>
      <c r="I513" s="13" t="n">
        <v>1767</v>
      </c>
      <c r="J513" s="13" t="n">
        <v>350.73</v>
      </c>
      <c r="K513" s="16" t="n">
        <v>28</v>
      </c>
      <c r="L513" t="inlineStr">
        <is>
          <t>Shipped</t>
        </is>
      </c>
      <c r="M513" t="inlineStr">
        <is>
          <t>PAY05</t>
        </is>
      </c>
      <c r="N513" t="inlineStr">
        <is>
          <t>Evening</t>
        </is>
      </c>
      <c r="O513">
        <f>INDEX(Products_Catalog!$B$2:$B$151, MATCH(C513, Products_Catalog!$A$2:$A$151, 0))</f>
        <v/>
      </c>
      <c r="P513" s="13">
        <f>INDEX(Products_Catalog!$D$2:$D$151, MATCH(C513, Products_Catalog!$A$2:$A$151, 0))</f>
        <v/>
      </c>
      <c r="Q513" s="13">
        <f>I513-J513</f>
        <v/>
      </c>
      <c r="R513" s="15">
        <f>IF(K513&gt;20, "BREACH", "OK")</f>
        <v/>
      </c>
    </row>
    <row r="514">
      <c r="A514" t="inlineStr">
        <is>
          <t>ORD01559</t>
        </is>
      </c>
      <c r="B514" t="inlineStr">
        <is>
          <t>CUST0017</t>
        </is>
      </c>
      <c r="C514" t="inlineStr">
        <is>
          <t>PROD016</t>
        </is>
      </c>
      <c r="D514" t="inlineStr">
        <is>
          <t>STORE001</t>
        </is>
      </c>
      <c r="E514" t="inlineStr">
        <is>
          <t>DP031</t>
        </is>
      </c>
      <c r="F514" t="inlineStr">
        <is>
          <t>2025-06-30 16:14:00</t>
        </is>
      </c>
      <c r="G514" t="inlineStr">
        <is>
          <t>2025-06-30 16:43:00</t>
        </is>
      </c>
      <c r="H514" s="14" t="n">
        <v>3</v>
      </c>
      <c r="I514" s="13" t="n">
        <v>722.34</v>
      </c>
      <c r="J514" s="13" t="n">
        <v>159.48</v>
      </c>
      <c r="K514" s="16" t="n">
        <v>29</v>
      </c>
      <c r="L514" t="inlineStr">
        <is>
          <t>Cancelled</t>
        </is>
      </c>
      <c r="M514" t="inlineStr">
        <is>
          <t>PAY01</t>
        </is>
      </c>
      <c r="N514" t="inlineStr">
        <is>
          <t>Afternoon</t>
        </is>
      </c>
      <c r="O514">
        <f>INDEX(Products_Catalog!$B$2:$B$151, MATCH(C514, Products_Catalog!$A$2:$A$151, 0))</f>
        <v/>
      </c>
      <c r="P514" s="13">
        <f>INDEX(Products_Catalog!$D$2:$D$151, MATCH(C514, Products_Catalog!$A$2:$A$151, 0))</f>
        <v/>
      </c>
      <c r="Q514" s="13">
        <f>I514-J514</f>
        <v/>
      </c>
      <c r="R514" s="15">
        <f>IF(K514&gt;20, "BREACH", "OK")</f>
        <v/>
      </c>
    </row>
    <row r="515">
      <c r="A515" t="inlineStr">
        <is>
          <t>ORD01560</t>
        </is>
      </c>
      <c r="B515" t="inlineStr">
        <is>
          <t>CUST0038</t>
        </is>
      </c>
      <c r="C515" t="inlineStr">
        <is>
          <t>PROD115</t>
        </is>
      </c>
      <c r="D515" t="inlineStr">
        <is>
          <t>STORE003</t>
        </is>
      </c>
      <c r="E515" t="inlineStr">
        <is>
          <t>DP028</t>
        </is>
      </c>
      <c r="F515" t="inlineStr">
        <is>
          <t>2024-12-27 12:24:00</t>
        </is>
      </c>
      <c r="G515" t="inlineStr">
        <is>
          <t>2024-12-27 12:40:00</t>
        </is>
      </c>
      <c r="H515" s="14" t="n">
        <v>4</v>
      </c>
      <c r="I515" s="13" t="n">
        <v>1955.24</v>
      </c>
      <c r="J515" s="13" t="n">
        <v>300.13</v>
      </c>
      <c r="K515" s="16" t="n">
        <v>16</v>
      </c>
      <c r="L515" t="inlineStr">
        <is>
          <t>Delivered</t>
        </is>
      </c>
      <c r="M515" t="inlineStr">
        <is>
          <t>PAY03</t>
        </is>
      </c>
      <c r="N515" t="inlineStr">
        <is>
          <t>Afternoon</t>
        </is>
      </c>
      <c r="O515">
        <f>INDEX(Products_Catalog!$B$2:$B$151, MATCH(C515, Products_Catalog!$A$2:$A$151, 0))</f>
        <v/>
      </c>
      <c r="P515" s="13">
        <f>INDEX(Products_Catalog!$D$2:$D$151, MATCH(C515, Products_Catalog!$A$2:$A$151, 0))</f>
        <v/>
      </c>
      <c r="Q515" s="13">
        <f>I515-J515</f>
        <v/>
      </c>
      <c r="R515" s="15">
        <f>IF(K515&gt;20, "BREACH", "OK")</f>
        <v/>
      </c>
    </row>
    <row r="516">
      <c r="A516" t="inlineStr">
        <is>
          <t>ORD01564</t>
        </is>
      </c>
      <c r="B516" t="inlineStr">
        <is>
          <t>CUST0028</t>
        </is>
      </c>
      <c r="C516" t="inlineStr">
        <is>
          <t>PROD035</t>
        </is>
      </c>
      <c r="D516" t="inlineStr">
        <is>
          <t>STORE013</t>
        </is>
      </c>
      <c r="E516" t="inlineStr">
        <is>
          <t>DP020</t>
        </is>
      </c>
      <c r="F516" t="inlineStr">
        <is>
          <t>2024-06-04 18:58:00</t>
        </is>
      </c>
      <c r="G516" t="inlineStr">
        <is>
          <t>2024-06-04 19:18:00</t>
        </is>
      </c>
      <c r="H516" s="14" t="n">
        <v>8</v>
      </c>
      <c r="I516" s="13" t="n">
        <v>926.72</v>
      </c>
      <c r="J516" s="13" t="n">
        <v>31.05</v>
      </c>
      <c r="K516" s="16" t="n">
        <v>20</v>
      </c>
      <c r="L516" t="inlineStr">
        <is>
          <t>Cancelled</t>
        </is>
      </c>
      <c r="M516" t="inlineStr">
        <is>
          <t>PAY03</t>
        </is>
      </c>
      <c r="N516" t="inlineStr">
        <is>
          <t>Evening</t>
        </is>
      </c>
      <c r="O516">
        <f>INDEX(Products_Catalog!$B$2:$B$151, MATCH(C516, Products_Catalog!$A$2:$A$151, 0))</f>
        <v/>
      </c>
      <c r="P516" s="13">
        <f>INDEX(Products_Catalog!$D$2:$D$151, MATCH(C516, Products_Catalog!$A$2:$A$151, 0))</f>
        <v/>
      </c>
      <c r="Q516" s="13">
        <f>I516-J516</f>
        <v/>
      </c>
      <c r="R516" s="15">
        <f>IF(K516&gt;20, "BREACH", "OK")</f>
        <v/>
      </c>
    </row>
    <row r="517">
      <c r="A517" t="inlineStr">
        <is>
          <t>ORD01566</t>
        </is>
      </c>
      <c r="B517" t="inlineStr">
        <is>
          <t>CUST0015</t>
        </is>
      </c>
      <c r="C517" t="inlineStr">
        <is>
          <t>PROD037</t>
        </is>
      </c>
      <c r="D517" t="inlineStr">
        <is>
          <t>STORE009</t>
        </is>
      </c>
      <c r="E517" t="inlineStr">
        <is>
          <t>DP043</t>
        </is>
      </c>
      <c r="F517" t="inlineStr">
        <is>
          <t>2024-12-27 11:57:00</t>
        </is>
      </c>
      <c r="G517" t="inlineStr">
        <is>
          <t>2024-12-27 12:19:00</t>
        </is>
      </c>
      <c r="H517" s="14" t="n">
        <v>5</v>
      </c>
      <c r="I517" s="13" t="n">
        <v>1090.3</v>
      </c>
      <c r="J517" s="13" t="n">
        <v>315.11</v>
      </c>
      <c r="K517" s="16" t="n">
        <v>22</v>
      </c>
      <c r="L517" t="inlineStr">
        <is>
          <t>Shipped</t>
        </is>
      </c>
      <c r="M517" t="inlineStr">
        <is>
          <t>PAY02</t>
        </is>
      </c>
      <c r="N517" t="inlineStr">
        <is>
          <t>Morning</t>
        </is>
      </c>
      <c r="O517">
        <f>INDEX(Products_Catalog!$B$2:$B$151, MATCH(C517, Products_Catalog!$A$2:$A$151, 0))</f>
        <v/>
      </c>
      <c r="P517" s="13">
        <f>INDEX(Products_Catalog!$D$2:$D$151, MATCH(C517, Products_Catalog!$A$2:$A$151, 0))</f>
        <v/>
      </c>
      <c r="Q517" s="13">
        <f>I517-J517</f>
        <v/>
      </c>
      <c r="R517" s="15">
        <f>IF(K517&gt;20, "BREACH", "OK")</f>
        <v/>
      </c>
    </row>
    <row r="518">
      <c r="A518" t="inlineStr">
        <is>
          <t>ORD01567</t>
        </is>
      </c>
      <c r="B518" t="inlineStr">
        <is>
          <t>CUST0040</t>
        </is>
      </c>
      <c r="C518" t="inlineStr">
        <is>
          <t>PROD129</t>
        </is>
      </c>
      <c r="D518" t="inlineStr">
        <is>
          <t>STORE043</t>
        </is>
      </c>
      <c r="E518" t="inlineStr">
        <is>
          <t>DP050</t>
        </is>
      </c>
      <c r="F518" t="inlineStr">
        <is>
          <t>2024-03-01 14:31:00</t>
        </is>
      </c>
      <c r="G518" t="inlineStr">
        <is>
          <t>2024-03-01 14:54:00</t>
        </is>
      </c>
      <c r="H518" s="14" t="n">
        <v>1</v>
      </c>
      <c r="I518" s="13" t="n">
        <v>352.83</v>
      </c>
      <c r="J518" s="13" t="n">
        <v>73.65000000000001</v>
      </c>
      <c r="K518" s="16" t="n">
        <v>23</v>
      </c>
      <c r="L518" t="inlineStr">
        <is>
          <t>Cancelled</t>
        </is>
      </c>
      <c r="M518" t="inlineStr">
        <is>
          <t>PAY02</t>
        </is>
      </c>
      <c r="N518" t="inlineStr">
        <is>
          <t>Afternoon</t>
        </is>
      </c>
      <c r="O518">
        <f>INDEX(Products_Catalog!$B$2:$B$151, MATCH(C518, Products_Catalog!$A$2:$A$151, 0))</f>
        <v/>
      </c>
      <c r="P518" s="13">
        <f>INDEX(Products_Catalog!$D$2:$D$151, MATCH(C518, Products_Catalog!$A$2:$A$151, 0))</f>
        <v/>
      </c>
      <c r="Q518" s="13">
        <f>I518-J518</f>
        <v/>
      </c>
      <c r="R518" s="15">
        <f>IF(K518&gt;20, "BREACH", "OK")</f>
        <v/>
      </c>
    </row>
    <row r="519">
      <c r="A519" t="inlineStr">
        <is>
          <t>ORD01568</t>
        </is>
      </c>
      <c r="B519" t="inlineStr">
        <is>
          <t>CUST0035</t>
        </is>
      </c>
      <c r="C519" t="inlineStr">
        <is>
          <t>PROD126</t>
        </is>
      </c>
      <c r="D519" t="inlineStr">
        <is>
          <t>STORE006</t>
        </is>
      </c>
      <c r="E519" t="inlineStr">
        <is>
          <t>DP042</t>
        </is>
      </c>
      <c r="F519" t="inlineStr">
        <is>
          <t>2024-02-18 16:16:00</t>
        </is>
      </c>
      <c r="G519" t="inlineStr">
        <is>
          <t>2024-02-18 16:40:00</t>
        </is>
      </c>
      <c r="H519" s="14" t="n">
        <v>9</v>
      </c>
      <c r="I519" s="13" t="n">
        <v>3967.56</v>
      </c>
      <c r="J519" s="13" t="n">
        <v>957.36</v>
      </c>
      <c r="K519" s="16" t="n">
        <v>24</v>
      </c>
      <c r="L519" t="inlineStr">
        <is>
          <t>Delivered</t>
        </is>
      </c>
      <c r="M519" t="inlineStr">
        <is>
          <t>PAY02</t>
        </is>
      </c>
      <c r="N519" t="inlineStr">
        <is>
          <t>Afternoon</t>
        </is>
      </c>
      <c r="O519">
        <f>INDEX(Products_Catalog!$B$2:$B$151, MATCH(C519, Products_Catalog!$A$2:$A$151, 0))</f>
        <v/>
      </c>
      <c r="P519" s="13">
        <f>INDEX(Products_Catalog!$D$2:$D$151, MATCH(C519, Products_Catalog!$A$2:$A$151, 0))</f>
        <v/>
      </c>
      <c r="Q519" s="13">
        <f>I519-J519</f>
        <v/>
      </c>
      <c r="R519" s="15">
        <f>IF(K519&gt;20, "BREACH", "OK")</f>
        <v/>
      </c>
    </row>
    <row r="520">
      <c r="A520" t="inlineStr">
        <is>
          <t>ORD01571</t>
        </is>
      </c>
      <c r="B520" t="inlineStr">
        <is>
          <t>CUST0030</t>
        </is>
      </c>
      <c r="C520" t="inlineStr">
        <is>
          <t>PROD080</t>
        </is>
      </c>
      <c r="D520" t="inlineStr">
        <is>
          <t>STORE031</t>
        </is>
      </c>
      <c r="E520" t="inlineStr">
        <is>
          <t>DP046</t>
        </is>
      </c>
      <c r="F520" t="inlineStr">
        <is>
          <t>2025-06-17 11:43:00</t>
        </is>
      </c>
      <c r="G520" t="inlineStr">
        <is>
          <t>2025-06-17 12:10:00</t>
        </is>
      </c>
      <c r="H520" s="14" t="n">
        <v>6</v>
      </c>
      <c r="I520" s="13" t="n">
        <v>2238.24</v>
      </c>
      <c r="J520" s="13" t="n">
        <v>421.63</v>
      </c>
      <c r="K520" s="16" t="n">
        <v>27</v>
      </c>
      <c r="L520" t="inlineStr">
        <is>
          <t>Shipped</t>
        </is>
      </c>
      <c r="M520" t="inlineStr">
        <is>
          <t>PAY04</t>
        </is>
      </c>
      <c r="N520" t="inlineStr">
        <is>
          <t>Morning</t>
        </is>
      </c>
      <c r="O520">
        <f>INDEX(Products_Catalog!$B$2:$B$151, MATCH(C520, Products_Catalog!$A$2:$A$151, 0))</f>
        <v/>
      </c>
      <c r="P520" s="13">
        <f>INDEX(Products_Catalog!$D$2:$D$151, MATCH(C520, Products_Catalog!$A$2:$A$151, 0))</f>
        <v/>
      </c>
      <c r="Q520" s="13">
        <f>I520-J520</f>
        <v/>
      </c>
      <c r="R520" s="15">
        <f>IF(K520&gt;20, "BREACH", "OK")</f>
        <v/>
      </c>
    </row>
    <row r="521">
      <c r="A521" t="inlineStr">
        <is>
          <t>ORD01572</t>
        </is>
      </c>
      <c r="B521" t="inlineStr">
        <is>
          <t>CUST0050</t>
        </is>
      </c>
      <c r="C521" t="inlineStr">
        <is>
          <t>PROD104</t>
        </is>
      </c>
      <c r="D521" t="inlineStr">
        <is>
          <t>STORE028</t>
        </is>
      </c>
      <c r="E521" t="inlineStr">
        <is>
          <t>DP045</t>
        </is>
      </c>
      <c r="F521" t="inlineStr">
        <is>
          <t>2024-05-01 18:00:00</t>
        </is>
      </c>
      <c r="G521" t="inlineStr">
        <is>
          <t>2024-05-01 18:22:00</t>
        </is>
      </c>
      <c r="H521" s="14" t="n">
        <v>1</v>
      </c>
      <c r="I521" s="13" t="n">
        <v>359.48</v>
      </c>
      <c r="J521" s="13" t="n">
        <v>31.94</v>
      </c>
      <c r="K521" s="16" t="n">
        <v>22</v>
      </c>
      <c r="L521" t="inlineStr">
        <is>
          <t>Delivered</t>
        </is>
      </c>
      <c r="M521" t="inlineStr">
        <is>
          <t>PAY05</t>
        </is>
      </c>
      <c r="N521" t="inlineStr">
        <is>
          <t>Evening</t>
        </is>
      </c>
      <c r="O521">
        <f>INDEX(Products_Catalog!$B$2:$B$151, MATCH(C521, Products_Catalog!$A$2:$A$151, 0))</f>
        <v/>
      </c>
      <c r="P521" s="13">
        <f>INDEX(Products_Catalog!$D$2:$D$151, MATCH(C521, Products_Catalog!$A$2:$A$151, 0))</f>
        <v/>
      </c>
      <c r="Q521" s="13">
        <f>I521-J521</f>
        <v/>
      </c>
      <c r="R521" s="15">
        <f>IF(K521&gt;20, "BREACH", "OK")</f>
        <v/>
      </c>
    </row>
    <row r="522">
      <c r="A522" t="inlineStr">
        <is>
          <t>ORD01573</t>
        </is>
      </c>
      <c r="B522" t="inlineStr">
        <is>
          <t>CUST0042</t>
        </is>
      </c>
      <c r="C522" t="inlineStr">
        <is>
          <t>PROD028</t>
        </is>
      </c>
      <c r="D522" t="inlineStr">
        <is>
          <t>STORE026</t>
        </is>
      </c>
      <c r="E522" t="inlineStr">
        <is>
          <t>DP001</t>
        </is>
      </c>
      <c r="F522" t="inlineStr">
        <is>
          <t>2024-10-12 20:11:00</t>
        </is>
      </c>
      <c r="G522" t="inlineStr">
        <is>
          <t>2024-10-12 20:40:00</t>
        </is>
      </c>
      <c r="H522" s="14" t="n">
        <v>7</v>
      </c>
      <c r="I522" s="13" t="n">
        <v>1310.75</v>
      </c>
      <c r="J522" s="13" t="n">
        <v>329.3</v>
      </c>
      <c r="K522" s="16" t="n">
        <v>29</v>
      </c>
      <c r="L522" t="inlineStr">
        <is>
          <t>Pending</t>
        </is>
      </c>
      <c r="M522" t="inlineStr">
        <is>
          <t>PAY04</t>
        </is>
      </c>
      <c r="N522" t="inlineStr">
        <is>
          <t>Evening</t>
        </is>
      </c>
      <c r="O522">
        <f>INDEX(Products_Catalog!$B$2:$B$151, MATCH(C522, Products_Catalog!$A$2:$A$151, 0))</f>
        <v/>
      </c>
      <c r="P522" s="13">
        <f>INDEX(Products_Catalog!$D$2:$D$151, MATCH(C522, Products_Catalog!$A$2:$A$151, 0))</f>
        <v/>
      </c>
      <c r="Q522" s="13">
        <f>I522-J522</f>
        <v/>
      </c>
      <c r="R522" s="15">
        <f>IF(K522&gt;20, "BREACH", "OK")</f>
        <v/>
      </c>
    </row>
    <row r="523">
      <c r="A523" t="inlineStr">
        <is>
          <t>ORD01574</t>
        </is>
      </c>
      <c r="B523" t="inlineStr">
        <is>
          <t>CUST0003</t>
        </is>
      </c>
      <c r="C523" t="inlineStr">
        <is>
          <t>PROD077</t>
        </is>
      </c>
      <c r="D523" t="inlineStr">
        <is>
          <t>STORE019</t>
        </is>
      </c>
      <c r="E523" t="inlineStr">
        <is>
          <t>DP041</t>
        </is>
      </c>
      <c r="F523" t="inlineStr">
        <is>
          <t>2024-09-30 16:48:00</t>
        </is>
      </c>
      <c r="G523" t="inlineStr">
        <is>
          <t>2024-09-30 17:18:00</t>
        </is>
      </c>
      <c r="H523" s="14" t="n">
        <v>3</v>
      </c>
      <c r="I523" s="13" t="n">
        <v>1188.54</v>
      </c>
      <c r="J523" s="13" t="n">
        <v>156.22</v>
      </c>
      <c r="K523" s="16" t="n">
        <v>30</v>
      </c>
      <c r="L523" t="inlineStr">
        <is>
          <t>Shipped</t>
        </is>
      </c>
      <c r="M523" t="inlineStr">
        <is>
          <t>PAY03</t>
        </is>
      </c>
      <c r="N523" t="inlineStr">
        <is>
          <t>Afternoon</t>
        </is>
      </c>
      <c r="O523">
        <f>INDEX(Products_Catalog!$B$2:$B$151, MATCH(C523, Products_Catalog!$A$2:$A$151, 0))</f>
        <v/>
      </c>
      <c r="P523" s="13">
        <f>INDEX(Products_Catalog!$D$2:$D$151, MATCH(C523, Products_Catalog!$A$2:$A$151, 0))</f>
        <v/>
      </c>
      <c r="Q523" s="13">
        <f>I523-J523</f>
        <v/>
      </c>
      <c r="R523" s="15">
        <f>IF(K523&gt;20, "BREACH", "OK")</f>
        <v/>
      </c>
    </row>
    <row r="524">
      <c r="A524" t="inlineStr">
        <is>
          <t>ORD01575</t>
        </is>
      </c>
      <c r="B524" t="inlineStr">
        <is>
          <t>CUST0014</t>
        </is>
      </c>
      <c r="C524" t="inlineStr">
        <is>
          <t>PROD078</t>
        </is>
      </c>
      <c r="D524" t="inlineStr">
        <is>
          <t>STORE005</t>
        </is>
      </c>
      <c r="E524" t="inlineStr">
        <is>
          <t>DP008</t>
        </is>
      </c>
      <c r="F524" t="inlineStr">
        <is>
          <t>2024-09-22 12:18:00</t>
        </is>
      </c>
      <c r="G524" t="inlineStr">
        <is>
          <t>2024-09-22 12:28:00</t>
        </is>
      </c>
      <c r="H524" s="14" t="n">
        <v>1</v>
      </c>
      <c r="I524" s="13" t="n">
        <v>387.43</v>
      </c>
      <c r="J524" s="13" t="n">
        <v>23</v>
      </c>
      <c r="K524" s="16" t="n">
        <v>10</v>
      </c>
      <c r="L524" t="inlineStr">
        <is>
          <t>Shipped</t>
        </is>
      </c>
      <c r="M524" t="inlineStr">
        <is>
          <t>PAY05</t>
        </is>
      </c>
      <c r="N524" t="inlineStr">
        <is>
          <t>Afternoon</t>
        </is>
      </c>
      <c r="O524">
        <f>INDEX(Products_Catalog!$B$2:$B$151, MATCH(C524, Products_Catalog!$A$2:$A$151, 0))</f>
        <v/>
      </c>
      <c r="P524" s="13">
        <f>INDEX(Products_Catalog!$D$2:$D$151, MATCH(C524, Products_Catalog!$A$2:$A$151, 0))</f>
        <v/>
      </c>
      <c r="Q524" s="13">
        <f>I524-J524</f>
        <v/>
      </c>
      <c r="R524" s="15">
        <f>IF(K524&gt;20, "BREACH", "OK")</f>
        <v/>
      </c>
    </row>
    <row r="525">
      <c r="A525" t="inlineStr">
        <is>
          <t>ORD01577</t>
        </is>
      </c>
      <c r="B525" t="inlineStr">
        <is>
          <t>CUST0025</t>
        </is>
      </c>
      <c r="C525" t="inlineStr">
        <is>
          <t>PROD098</t>
        </is>
      </c>
      <c r="D525" t="inlineStr">
        <is>
          <t>STORE048</t>
        </is>
      </c>
      <c r="E525" t="inlineStr">
        <is>
          <t>DP009</t>
        </is>
      </c>
      <c r="F525" t="inlineStr">
        <is>
          <t>2025-01-31 18:37:00</t>
        </is>
      </c>
      <c r="G525" t="inlineStr">
        <is>
          <t>2025-01-31 18:49:00</t>
        </is>
      </c>
      <c r="H525" s="14" t="n">
        <v>9</v>
      </c>
      <c r="I525" s="13" t="n">
        <v>1264.23</v>
      </c>
      <c r="J525" s="13" t="n">
        <v>376.02</v>
      </c>
      <c r="K525" s="16" t="n">
        <v>12</v>
      </c>
      <c r="L525" t="inlineStr">
        <is>
          <t>Pending</t>
        </is>
      </c>
      <c r="M525" t="inlineStr">
        <is>
          <t>PAY05</t>
        </is>
      </c>
      <c r="N525" t="inlineStr">
        <is>
          <t>Evening</t>
        </is>
      </c>
      <c r="O525">
        <f>INDEX(Products_Catalog!$B$2:$B$151, MATCH(C525, Products_Catalog!$A$2:$A$151, 0))</f>
        <v/>
      </c>
      <c r="P525" s="13">
        <f>INDEX(Products_Catalog!$D$2:$D$151, MATCH(C525, Products_Catalog!$A$2:$A$151, 0))</f>
        <v/>
      </c>
      <c r="Q525" s="13">
        <f>I525-J525</f>
        <v/>
      </c>
      <c r="R525" s="15">
        <f>IF(K525&gt;20, "BREACH", "OK")</f>
        <v/>
      </c>
    </row>
    <row r="526">
      <c r="A526" t="inlineStr">
        <is>
          <t>ORD01579</t>
        </is>
      </c>
      <c r="B526" t="inlineStr">
        <is>
          <t>CUST0007</t>
        </is>
      </c>
      <c r="C526" t="inlineStr">
        <is>
          <t>PROD081</t>
        </is>
      </c>
      <c r="D526" t="inlineStr">
        <is>
          <t>STORE029</t>
        </is>
      </c>
      <c r="E526" t="inlineStr">
        <is>
          <t>DP007</t>
        </is>
      </c>
      <c r="F526" t="inlineStr">
        <is>
          <t>2025-04-10 17:21:00</t>
        </is>
      </c>
      <c r="G526" t="inlineStr">
        <is>
          <t>2025-04-10 17:35:00</t>
        </is>
      </c>
      <c r="H526" s="14" t="n">
        <v>5</v>
      </c>
      <c r="I526" s="13" t="n">
        <v>1878.35</v>
      </c>
      <c r="J526" s="13" t="n">
        <v>494.77</v>
      </c>
      <c r="K526" s="16" t="n">
        <v>14</v>
      </c>
      <c r="L526" t="inlineStr">
        <is>
          <t>Pending</t>
        </is>
      </c>
      <c r="M526" t="inlineStr">
        <is>
          <t>PAY05</t>
        </is>
      </c>
      <c r="N526" t="inlineStr">
        <is>
          <t>Evening</t>
        </is>
      </c>
      <c r="O526">
        <f>INDEX(Products_Catalog!$B$2:$B$151, MATCH(C526, Products_Catalog!$A$2:$A$151, 0))</f>
        <v/>
      </c>
      <c r="P526" s="13">
        <f>INDEX(Products_Catalog!$D$2:$D$151, MATCH(C526, Products_Catalog!$A$2:$A$151, 0))</f>
        <v/>
      </c>
      <c r="Q526" s="13">
        <f>I526-J526</f>
        <v/>
      </c>
      <c r="R526" s="15">
        <f>IF(K526&gt;20, "BREACH", "OK")</f>
        <v/>
      </c>
    </row>
    <row r="527">
      <c r="A527" t="inlineStr">
        <is>
          <t>ORD01580</t>
        </is>
      </c>
      <c r="B527" t="inlineStr">
        <is>
          <t>CUST0043</t>
        </is>
      </c>
      <c r="C527" t="inlineStr">
        <is>
          <t>PROD031</t>
        </is>
      </c>
      <c r="D527" t="inlineStr">
        <is>
          <t>STORE039</t>
        </is>
      </c>
      <c r="E527" t="inlineStr">
        <is>
          <t>DP012</t>
        </is>
      </c>
      <c r="F527" t="inlineStr">
        <is>
          <t>2024-05-21 14:52:00</t>
        </is>
      </c>
      <c r="G527" t="inlineStr">
        <is>
          <t>2024-05-21 15:07:00</t>
        </is>
      </c>
      <c r="H527" s="14" t="n">
        <v>4</v>
      </c>
      <c r="I527" s="13" t="n">
        <v>990.2</v>
      </c>
      <c r="J527" s="13" t="n">
        <v>3.94</v>
      </c>
      <c r="K527" s="16" t="n">
        <v>15</v>
      </c>
      <c r="L527" t="inlineStr">
        <is>
          <t>Shipped</t>
        </is>
      </c>
      <c r="M527" t="inlineStr">
        <is>
          <t>PAY05</t>
        </is>
      </c>
      <c r="N527" t="inlineStr">
        <is>
          <t>Afternoon</t>
        </is>
      </c>
      <c r="O527">
        <f>INDEX(Products_Catalog!$B$2:$B$151, MATCH(C527, Products_Catalog!$A$2:$A$151, 0))</f>
        <v/>
      </c>
      <c r="P527" s="13">
        <f>INDEX(Products_Catalog!$D$2:$D$151, MATCH(C527, Products_Catalog!$A$2:$A$151, 0))</f>
        <v/>
      </c>
      <c r="Q527" s="13">
        <f>I527-J527</f>
        <v/>
      </c>
      <c r="R527" s="15">
        <f>IF(K527&gt;20, "BREACH", "OK")</f>
        <v/>
      </c>
    </row>
    <row r="528">
      <c r="A528" t="inlineStr">
        <is>
          <t>ORD01581</t>
        </is>
      </c>
      <c r="B528" t="inlineStr">
        <is>
          <t>CUST0048</t>
        </is>
      </c>
      <c r="C528" t="inlineStr">
        <is>
          <t>PROD041</t>
        </is>
      </c>
      <c r="D528" t="inlineStr">
        <is>
          <t>STORE003</t>
        </is>
      </c>
      <c r="E528" t="inlineStr">
        <is>
          <t>DP018</t>
        </is>
      </c>
      <c r="F528" t="inlineStr">
        <is>
          <t>2024-11-06 14:27:00</t>
        </is>
      </c>
      <c r="G528" t="inlineStr">
        <is>
          <t>2024-11-06 14:43:00</t>
        </is>
      </c>
      <c r="H528" s="14" t="n">
        <v>2</v>
      </c>
      <c r="I528" s="13" t="n">
        <v>191.96</v>
      </c>
      <c r="J528" s="13" t="n">
        <v>36.34</v>
      </c>
      <c r="K528" s="16" t="n">
        <v>16</v>
      </c>
      <c r="L528" t="inlineStr">
        <is>
          <t>Cancelled</t>
        </is>
      </c>
      <c r="M528" t="inlineStr">
        <is>
          <t>PAY01</t>
        </is>
      </c>
      <c r="N528" t="inlineStr">
        <is>
          <t>Afternoon</t>
        </is>
      </c>
      <c r="O528">
        <f>INDEX(Products_Catalog!$B$2:$B$151, MATCH(C528, Products_Catalog!$A$2:$A$151, 0))</f>
        <v/>
      </c>
      <c r="P528" s="13">
        <f>INDEX(Products_Catalog!$D$2:$D$151, MATCH(C528, Products_Catalog!$A$2:$A$151, 0))</f>
        <v/>
      </c>
      <c r="Q528" s="13">
        <f>I528-J528</f>
        <v/>
      </c>
      <c r="R528" s="15">
        <f>IF(K528&gt;20, "BREACH", "OK")</f>
        <v/>
      </c>
    </row>
    <row r="529">
      <c r="A529" t="inlineStr">
        <is>
          <t>ORD01582</t>
        </is>
      </c>
      <c r="B529" t="inlineStr">
        <is>
          <t>CUST0014</t>
        </is>
      </c>
      <c r="C529" t="inlineStr">
        <is>
          <t>PROD133</t>
        </is>
      </c>
      <c r="D529" t="inlineStr">
        <is>
          <t>STORE005</t>
        </is>
      </c>
      <c r="E529" t="inlineStr">
        <is>
          <t>DP015</t>
        </is>
      </c>
      <c r="F529" t="inlineStr">
        <is>
          <t>2024-05-10 10:24:00</t>
        </is>
      </c>
      <c r="G529" t="inlineStr">
        <is>
          <t>2024-05-10 10:41:00</t>
        </is>
      </c>
      <c r="H529" s="14" t="n">
        <v>2</v>
      </c>
      <c r="I529" s="13" t="n">
        <v>539.72</v>
      </c>
      <c r="J529" s="13" t="n">
        <v>35.23</v>
      </c>
      <c r="K529" s="16" t="n">
        <v>17</v>
      </c>
      <c r="L529" t="inlineStr">
        <is>
          <t>Pending</t>
        </is>
      </c>
      <c r="M529" t="inlineStr">
        <is>
          <t>PAY03</t>
        </is>
      </c>
      <c r="N529" t="inlineStr">
        <is>
          <t>Morning</t>
        </is>
      </c>
      <c r="O529">
        <f>INDEX(Products_Catalog!$B$2:$B$151, MATCH(C529, Products_Catalog!$A$2:$A$151, 0))</f>
        <v/>
      </c>
      <c r="P529" s="13">
        <f>INDEX(Products_Catalog!$D$2:$D$151, MATCH(C529, Products_Catalog!$A$2:$A$151, 0))</f>
        <v/>
      </c>
      <c r="Q529" s="13">
        <f>I529-J529</f>
        <v/>
      </c>
      <c r="R529" s="15">
        <f>IF(K529&gt;20, "BREACH", "OK")</f>
        <v/>
      </c>
    </row>
    <row r="530">
      <c r="A530" t="inlineStr">
        <is>
          <t>ORD01583</t>
        </is>
      </c>
      <c r="B530" t="inlineStr">
        <is>
          <t>CUST0028</t>
        </is>
      </c>
      <c r="C530" t="inlineStr">
        <is>
          <t>PROD005</t>
        </is>
      </c>
      <c r="D530" t="inlineStr">
        <is>
          <t>STORE043</t>
        </is>
      </c>
      <c r="E530" t="inlineStr">
        <is>
          <t>DP018</t>
        </is>
      </c>
      <c r="F530" t="inlineStr">
        <is>
          <t>2025-04-26 15:58:00</t>
        </is>
      </c>
      <c r="G530" t="inlineStr">
        <is>
          <t>2025-04-26 16:16:00</t>
        </is>
      </c>
      <c r="H530" s="14" t="n">
        <v>1</v>
      </c>
      <c r="I530" s="13" t="n">
        <v>103.17</v>
      </c>
      <c r="J530" s="13" t="n">
        <v>16.63</v>
      </c>
      <c r="K530" s="16" t="n">
        <v>18</v>
      </c>
      <c r="L530" t="inlineStr">
        <is>
          <t>Delivered</t>
        </is>
      </c>
      <c r="M530" t="inlineStr">
        <is>
          <t>PAY02</t>
        </is>
      </c>
      <c r="N530" t="inlineStr">
        <is>
          <t>Afternoon</t>
        </is>
      </c>
      <c r="O530">
        <f>INDEX(Products_Catalog!$B$2:$B$151, MATCH(C530, Products_Catalog!$A$2:$A$151, 0))</f>
        <v/>
      </c>
      <c r="P530" s="13">
        <f>INDEX(Products_Catalog!$D$2:$D$151, MATCH(C530, Products_Catalog!$A$2:$A$151, 0))</f>
        <v/>
      </c>
      <c r="Q530" s="13">
        <f>I530-J530</f>
        <v/>
      </c>
      <c r="R530" s="15">
        <f>IF(K530&gt;20, "BREACH", "OK")</f>
        <v/>
      </c>
    </row>
    <row r="531">
      <c r="A531" t="inlineStr">
        <is>
          <t>ORD01584</t>
        </is>
      </c>
      <c r="B531" t="inlineStr">
        <is>
          <t>CUST0008</t>
        </is>
      </c>
      <c r="C531" t="inlineStr">
        <is>
          <t>PROD124</t>
        </is>
      </c>
      <c r="D531" t="inlineStr">
        <is>
          <t>STORE016</t>
        </is>
      </c>
      <c r="E531" t="inlineStr">
        <is>
          <t>DP016</t>
        </is>
      </c>
      <c r="F531" t="inlineStr">
        <is>
          <t>2024-03-01 10:06:00</t>
        </is>
      </c>
      <c r="G531" t="inlineStr">
        <is>
          <t>2024-03-01 10:16:00</t>
        </is>
      </c>
      <c r="H531" s="14" t="n">
        <v>5</v>
      </c>
      <c r="I531" s="13" t="n">
        <v>1322.1</v>
      </c>
      <c r="J531" s="13" t="n">
        <v>242.66</v>
      </c>
      <c r="K531" s="16" t="n">
        <v>10</v>
      </c>
      <c r="L531" t="inlineStr">
        <is>
          <t>Delivered</t>
        </is>
      </c>
      <c r="M531" t="inlineStr">
        <is>
          <t>PAY01</t>
        </is>
      </c>
      <c r="N531" t="inlineStr">
        <is>
          <t>Morning</t>
        </is>
      </c>
      <c r="O531">
        <f>INDEX(Products_Catalog!$B$2:$B$151, MATCH(C531, Products_Catalog!$A$2:$A$151, 0))</f>
        <v/>
      </c>
      <c r="P531" s="13">
        <f>INDEX(Products_Catalog!$D$2:$D$151, MATCH(C531, Products_Catalog!$A$2:$A$151, 0))</f>
        <v/>
      </c>
      <c r="Q531" s="13">
        <f>I531-J531</f>
        <v/>
      </c>
      <c r="R531" s="15">
        <f>IF(K531&gt;20, "BREACH", "OK")</f>
        <v/>
      </c>
    </row>
    <row r="532">
      <c r="A532" t="inlineStr">
        <is>
          <t>ORD01585</t>
        </is>
      </c>
      <c r="B532" t="inlineStr">
        <is>
          <t>CUST0050</t>
        </is>
      </c>
      <c r="C532" t="inlineStr">
        <is>
          <t>PROD054</t>
        </is>
      </c>
      <c r="D532" t="inlineStr">
        <is>
          <t>STORE028</t>
        </is>
      </c>
      <c r="E532" t="inlineStr">
        <is>
          <t>DP010</t>
        </is>
      </c>
      <c r="F532" t="inlineStr">
        <is>
          <t>2024-06-06 18:24:00</t>
        </is>
      </c>
      <c r="G532" t="inlineStr">
        <is>
          <t>2024-06-06 18:44:00</t>
        </is>
      </c>
      <c r="H532" s="14" t="n">
        <v>1</v>
      </c>
      <c r="I532" s="13" t="n">
        <v>289.15</v>
      </c>
      <c r="J532" s="13" t="n">
        <v>41.61</v>
      </c>
      <c r="K532" s="16" t="n">
        <v>20</v>
      </c>
      <c r="L532" t="inlineStr">
        <is>
          <t>Shipped</t>
        </is>
      </c>
      <c r="M532" t="inlineStr">
        <is>
          <t>PAY02</t>
        </is>
      </c>
      <c r="N532" t="inlineStr">
        <is>
          <t>Evening</t>
        </is>
      </c>
      <c r="O532">
        <f>INDEX(Products_Catalog!$B$2:$B$151, MATCH(C532, Products_Catalog!$A$2:$A$151, 0))</f>
        <v/>
      </c>
      <c r="P532" s="13">
        <f>INDEX(Products_Catalog!$D$2:$D$151, MATCH(C532, Products_Catalog!$A$2:$A$151, 0))</f>
        <v/>
      </c>
      <c r="Q532" s="13">
        <f>I532-J532</f>
        <v/>
      </c>
      <c r="R532" s="15">
        <f>IF(K532&gt;20, "BREACH", "OK")</f>
        <v/>
      </c>
    </row>
    <row r="533">
      <c r="A533" t="inlineStr">
        <is>
          <t>ORD01586</t>
        </is>
      </c>
      <c r="B533" t="inlineStr">
        <is>
          <t>CUST0046</t>
        </is>
      </c>
      <c r="C533" t="inlineStr">
        <is>
          <t>PROD074</t>
        </is>
      </c>
      <c r="D533" t="inlineStr">
        <is>
          <t>STORE028</t>
        </is>
      </c>
      <c r="E533" t="inlineStr">
        <is>
          <t>DP006</t>
        </is>
      </c>
      <c r="F533" t="inlineStr">
        <is>
          <t>2024-08-27 14:49:00</t>
        </is>
      </c>
      <c r="G533" t="inlineStr">
        <is>
          <t>2024-08-27 15:10:00</t>
        </is>
      </c>
      <c r="H533" s="14" t="n">
        <v>7</v>
      </c>
      <c r="I533" s="13" t="n">
        <v>860.4400000000001</v>
      </c>
      <c r="J533" s="13" t="n">
        <v>177.99</v>
      </c>
      <c r="K533" s="16" t="n">
        <v>21</v>
      </c>
      <c r="L533" t="inlineStr">
        <is>
          <t>Shipped</t>
        </is>
      </c>
      <c r="M533" t="inlineStr">
        <is>
          <t>PAY03</t>
        </is>
      </c>
      <c r="N533" t="inlineStr">
        <is>
          <t>Afternoon</t>
        </is>
      </c>
      <c r="O533">
        <f>INDEX(Products_Catalog!$B$2:$B$151, MATCH(C533, Products_Catalog!$A$2:$A$151, 0))</f>
        <v/>
      </c>
      <c r="P533" s="13">
        <f>INDEX(Products_Catalog!$D$2:$D$151, MATCH(C533, Products_Catalog!$A$2:$A$151, 0))</f>
        <v/>
      </c>
      <c r="Q533" s="13">
        <f>I533-J533</f>
        <v/>
      </c>
      <c r="R533" s="15">
        <f>IF(K533&gt;20, "BREACH", "OK")</f>
        <v/>
      </c>
    </row>
    <row r="534">
      <c r="A534" t="inlineStr">
        <is>
          <t>ORD01587</t>
        </is>
      </c>
      <c r="B534" t="inlineStr">
        <is>
          <t>CUST0009</t>
        </is>
      </c>
      <c r="C534" t="inlineStr">
        <is>
          <t>PROD103</t>
        </is>
      </c>
      <c r="D534" t="inlineStr">
        <is>
          <t>STORE029</t>
        </is>
      </c>
      <c r="E534" t="inlineStr">
        <is>
          <t>DP033</t>
        </is>
      </c>
      <c r="F534" t="inlineStr">
        <is>
          <t>2024-11-08 10:04:00</t>
        </is>
      </c>
      <c r="G534" t="inlineStr">
        <is>
          <t>2024-11-08 10:16:00</t>
        </is>
      </c>
      <c r="H534" s="14" t="n">
        <v>5</v>
      </c>
      <c r="I534" s="13" t="n">
        <v>1812.6</v>
      </c>
      <c r="J534" s="13" t="n">
        <v>34.04</v>
      </c>
      <c r="K534" s="16" t="n">
        <v>12</v>
      </c>
      <c r="L534" t="inlineStr">
        <is>
          <t>Delivered</t>
        </is>
      </c>
      <c r="M534" t="inlineStr">
        <is>
          <t>PAY02</t>
        </is>
      </c>
      <c r="N534" t="inlineStr">
        <is>
          <t>Morning</t>
        </is>
      </c>
      <c r="O534">
        <f>INDEX(Products_Catalog!$B$2:$B$151, MATCH(C534, Products_Catalog!$A$2:$A$151, 0))</f>
        <v/>
      </c>
      <c r="P534" s="13">
        <f>INDEX(Products_Catalog!$D$2:$D$151, MATCH(C534, Products_Catalog!$A$2:$A$151, 0))</f>
        <v/>
      </c>
      <c r="Q534" s="13">
        <f>I534-J534</f>
        <v/>
      </c>
      <c r="R534" s="15">
        <f>IF(K534&gt;20, "BREACH", "OK")</f>
        <v/>
      </c>
    </row>
    <row r="535">
      <c r="A535" t="inlineStr">
        <is>
          <t>ORD01588</t>
        </is>
      </c>
      <c r="B535" t="inlineStr">
        <is>
          <t>CUST0030</t>
        </is>
      </c>
      <c r="C535" t="inlineStr">
        <is>
          <t>PROD091</t>
        </is>
      </c>
      <c r="D535" t="inlineStr">
        <is>
          <t>STORE006</t>
        </is>
      </c>
      <c r="E535" t="inlineStr">
        <is>
          <t>DP026</t>
        </is>
      </c>
      <c r="F535" t="inlineStr">
        <is>
          <t>2024-08-01 16:00:00</t>
        </is>
      </c>
      <c r="G535" t="inlineStr">
        <is>
          <t>2024-08-01 16:13:00</t>
        </is>
      </c>
      <c r="H535" s="14" t="n">
        <v>3</v>
      </c>
      <c r="I535" s="13" t="n">
        <v>231.9</v>
      </c>
      <c r="J535" s="13" t="n">
        <v>7.73</v>
      </c>
      <c r="K535" s="16" t="n">
        <v>13</v>
      </c>
      <c r="L535" t="inlineStr">
        <is>
          <t>Shipped</t>
        </is>
      </c>
      <c r="M535" t="inlineStr">
        <is>
          <t>PAY05</t>
        </is>
      </c>
      <c r="N535" t="inlineStr">
        <is>
          <t>Afternoon</t>
        </is>
      </c>
      <c r="O535">
        <f>INDEX(Products_Catalog!$B$2:$B$151, MATCH(C535, Products_Catalog!$A$2:$A$151, 0))</f>
        <v/>
      </c>
      <c r="P535" s="13">
        <f>INDEX(Products_Catalog!$D$2:$D$151, MATCH(C535, Products_Catalog!$A$2:$A$151, 0))</f>
        <v/>
      </c>
      <c r="Q535" s="13">
        <f>I535-J535</f>
        <v/>
      </c>
      <c r="R535" s="15">
        <f>IF(K535&gt;20, "BREACH", "OK")</f>
        <v/>
      </c>
    </row>
    <row r="536">
      <c r="A536" t="inlineStr">
        <is>
          <t>ORD01590</t>
        </is>
      </c>
      <c r="B536" t="inlineStr">
        <is>
          <t>CUST0041</t>
        </is>
      </c>
      <c r="C536" t="inlineStr">
        <is>
          <t>PROD016</t>
        </is>
      </c>
      <c r="D536" t="inlineStr">
        <is>
          <t>STORE038</t>
        </is>
      </c>
      <c r="E536" t="inlineStr">
        <is>
          <t>DP039</t>
        </is>
      </c>
      <c r="F536" t="inlineStr">
        <is>
          <t>2024-05-25 15:49:00</t>
        </is>
      </c>
      <c r="G536" t="inlineStr">
        <is>
          <t>2024-05-25 16:04:00</t>
        </is>
      </c>
      <c r="H536" s="14" t="n">
        <v>9</v>
      </c>
      <c r="I536" s="13" t="n">
        <v>2700</v>
      </c>
      <c r="J536" s="13" t="n">
        <v>334.52</v>
      </c>
      <c r="K536" s="16" t="n">
        <v>15</v>
      </c>
      <c r="L536" t="inlineStr">
        <is>
          <t>Cancelled</t>
        </is>
      </c>
      <c r="M536" t="inlineStr">
        <is>
          <t>PAY01</t>
        </is>
      </c>
      <c r="N536" t="inlineStr">
        <is>
          <t>Afternoon</t>
        </is>
      </c>
      <c r="O536">
        <f>INDEX(Products_Catalog!$B$2:$B$151, MATCH(C536, Products_Catalog!$A$2:$A$151, 0))</f>
        <v/>
      </c>
      <c r="P536" s="13">
        <f>INDEX(Products_Catalog!$D$2:$D$151, MATCH(C536, Products_Catalog!$A$2:$A$151, 0))</f>
        <v/>
      </c>
      <c r="Q536" s="13">
        <f>I536-J536</f>
        <v/>
      </c>
      <c r="R536" s="15">
        <f>IF(K536&gt;20, "BREACH", "OK")</f>
        <v/>
      </c>
    </row>
    <row r="537">
      <c r="A537" t="inlineStr">
        <is>
          <t>ORD01592</t>
        </is>
      </c>
      <c r="B537" t="inlineStr">
        <is>
          <t>CUST0038</t>
        </is>
      </c>
      <c r="C537" t="inlineStr">
        <is>
          <t>PROD061</t>
        </is>
      </c>
      <c r="D537" t="inlineStr">
        <is>
          <t>STORE021</t>
        </is>
      </c>
      <c r="E537" t="inlineStr">
        <is>
          <t>DP046</t>
        </is>
      </c>
      <c r="F537" t="inlineStr">
        <is>
          <t>2024-09-27 13:12:00</t>
        </is>
      </c>
      <c r="G537" t="inlineStr">
        <is>
          <t>2024-09-27 13:29:00</t>
        </is>
      </c>
      <c r="H537" s="14" t="n">
        <v>5</v>
      </c>
      <c r="I537" s="13" t="n">
        <v>2481.55</v>
      </c>
      <c r="J537" s="13" t="n">
        <v>437.15</v>
      </c>
      <c r="K537" s="16" t="n">
        <v>17</v>
      </c>
      <c r="L537" t="inlineStr">
        <is>
          <t>Pending</t>
        </is>
      </c>
      <c r="M537" t="inlineStr">
        <is>
          <t>PAY04</t>
        </is>
      </c>
      <c r="N537" t="inlineStr">
        <is>
          <t>Afternoon</t>
        </is>
      </c>
      <c r="O537">
        <f>INDEX(Products_Catalog!$B$2:$B$151, MATCH(C537, Products_Catalog!$A$2:$A$151, 0))</f>
        <v/>
      </c>
      <c r="P537" s="13">
        <f>INDEX(Products_Catalog!$D$2:$D$151, MATCH(C537, Products_Catalog!$A$2:$A$151, 0))</f>
        <v/>
      </c>
      <c r="Q537" s="13">
        <f>I537-J537</f>
        <v/>
      </c>
      <c r="R537" s="15">
        <f>IF(K537&gt;20, "BREACH", "OK")</f>
        <v/>
      </c>
    </row>
    <row r="538">
      <c r="A538" t="inlineStr">
        <is>
          <t>ORD01593</t>
        </is>
      </c>
      <c r="B538" t="inlineStr">
        <is>
          <t>CUST0048</t>
        </is>
      </c>
      <c r="C538" t="inlineStr">
        <is>
          <t>PROD089</t>
        </is>
      </c>
      <c r="D538" t="inlineStr">
        <is>
          <t>STORE001</t>
        </is>
      </c>
      <c r="E538" t="inlineStr">
        <is>
          <t>DP040</t>
        </is>
      </c>
      <c r="F538" t="inlineStr">
        <is>
          <t>2024-06-20 09:50:00</t>
        </is>
      </c>
      <c r="G538" t="inlineStr">
        <is>
          <t>2024-06-20 10:18:00</t>
        </is>
      </c>
      <c r="H538" s="14" t="n">
        <v>1</v>
      </c>
      <c r="I538" s="13" t="n">
        <v>420.92</v>
      </c>
      <c r="J538" s="13" t="n">
        <v>0.28</v>
      </c>
      <c r="K538" s="16" t="n">
        <v>28</v>
      </c>
      <c r="L538" t="inlineStr">
        <is>
          <t>Pending</t>
        </is>
      </c>
      <c r="M538" t="inlineStr">
        <is>
          <t>PAY04</t>
        </is>
      </c>
      <c r="N538" t="inlineStr">
        <is>
          <t>Morning</t>
        </is>
      </c>
      <c r="O538">
        <f>INDEX(Products_Catalog!$B$2:$B$151, MATCH(C538, Products_Catalog!$A$2:$A$151, 0))</f>
        <v/>
      </c>
      <c r="P538" s="13">
        <f>INDEX(Products_Catalog!$D$2:$D$151, MATCH(C538, Products_Catalog!$A$2:$A$151, 0))</f>
        <v/>
      </c>
      <c r="Q538" s="13">
        <f>I538-J538</f>
        <v/>
      </c>
      <c r="R538" s="15">
        <f>IF(K538&gt;20, "BREACH", "OK")</f>
        <v/>
      </c>
    </row>
    <row r="539">
      <c r="A539" t="inlineStr">
        <is>
          <t>ORD01594</t>
        </is>
      </c>
      <c r="B539" t="inlineStr">
        <is>
          <t>CUST0029</t>
        </is>
      </c>
      <c r="C539" t="inlineStr">
        <is>
          <t>PROD125</t>
        </is>
      </c>
      <c r="D539" t="inlineStr">
        <is>
          <t>STORE014</t>
        </is>
      </c>
      <c r="E539" t="inlineStr">
        <is>
          <t>DP020</t>
        </is>
      </c>
      <c r="F539" t="inlineStr">
        <is>
          <t>2024-11-15 13:15:00</t>
        </is>
      </c>
      <c r="G539" t="inlineStr">
        <is>
          <t>2024-11-15 13:44:00</t>
        </is>
      </c>
      <c r="H539" s="14" t="n">
        <v>10</v>
      </c>
      <c r="I539" s="13" t="n">
        <v>4269.4</v>
      </c>
      <c r="J539" s="13" t="n">
        <v>837.52</v>
      </c>
      <c r="K539" s="16" t="n">
        <v>29</v>
      </c>
      <c r="L539" t="inlineStr">
        <is>
          <t>Returned</t>
        </is>
      </c>
      <c r="M539" t="inlineStr">
        <is>
          <t>PAY03</t>
        </is>
      </c>
      <c r="N539" t="inlineStr">
        <is>
          <t>Afternoon</t>
        </is>
      </c>
      <c r="O539">
        <f>INDEX(Products_Catalog!$B$2:$B$151, MATCH(C539, Products_Catalog!$A$2:$A$151, 0))</f>
        <v/>
      </c>
      <c r="P539" s="13">
        <f>INDEX(Products_Catalog!$D$2:$D$151, MATCH(C539, Products_Catalog!$A$2:$A$151, 0))</f>
        <v/>
      </c>
      <c r="Q539" s="13">
        <f>I539-J539</f>
        <v/>
      </c>
      <c r="R539" s="15">
        <f>IF(K539&gt;20, "BREACH", "OK")</f>
        <v/>
      </c>
    </row>
    <row r="540">
      <c r="A540" t="inlineStr">
        <is>
          <t>ORD01595</t>
        </is>
      </c>
      <c r="B540" t="inlineStr">
        <is>
          <t>CUST0032</t>
        </is>
      </c>
      <c r="C540" t="inlineStr">
        <is>
          <t>PROD051</t>
        </is>
      </c>
      <c r="D540" t="inlineStr">
        <is>
          <t>STORE027</t>
        </is>
      </c>
      <c r="E540" t="inlineStr">
        <is>
          <t>DP031</t>
        </is>
      </c>
      <c r="F540" t="inlineStr">
        <is>
          <t>2024-06-13 10:19:00</t>
        </is>
      </c>
      <c r="G540" t="inlineStr">
        <is>
          <t>2024-06-13 10:29:00</t>
        </is>
      </c>
      <c r="H540" s="14" t="n">
        <v>7</v>
      </c>
      <c r="I540" s="13" t="n">
        <v>1912.54</v>
      </c>
      <c r="J540" s="13" t="n">
        <v>303.81</v>
      </c>
      <c r="K540" s="16" t="n">
        <v>10</v>
      </c>
      <c r="L540" t="inlineStr">
        <is>
          <t>Returned</t>
        </is>
      </c>
      <c r="M540" t="inlineStr">
        <is>
          <t>PAY01</t>
        </is>
      </c>
      <c r="N540" t="inlineStr">
        <is>
          <t>Morning</t>
        </is>
      </c>
      <c r="O540">
        <f>INDEX(Products_Catalog!$B$2:$B$151, MATCH(C540, Products_Catalog!$A$2:$A$151, 0))</f>
        <v/>
      </c>
      <c r="P540" s="13">
        <f>INDEX(Products_Catalog!$D$2:$D$151, MATCH(C540, Products_Catalog!$A$2:$A$151, 0))</f>
        <v/>
      </c>
      <c r="Q540" s="13">
        <f>I540-J540</f>
        <v/>
      </c>
      <c r="R540" s="15">
        <f>IF(K540&gt;20, "BREACH", "OK")</f>
        <v/>
      </c>
    </row>
    <row r="541">
      <c r="A541" t="inlineStr">
        <is>
          <t>ORD01596</t>
        </is>
      </c>
      <c r="B541" t="inlineStr">
        <is>
          <t>CUST0002</t>
        </is>
      </c>
      <c r="C541" t="inlineStr">
        <is>
          <t>PROD149</t>
        </is>
      </c>
      <c r="D541" t="inlineStr">
        <is>
          <t>STORE003</t>
        </is>
      </c>
      <c r="E541" t="inlineStr">
        <is>
          <t>DP023</t>
        </is>
      </c>
      <c r="F541" t="inlineStr">
        <is>
          <t>2024-04-29 18:43:00</t>
        </is>
      </c>
      <c r="G541" t="inlineStr">
        <is>
          <t>2024-04-29 18:54:00</t>
        </is>
      </c>
      <c r="H541" s="14" t="n">
        <v>6</v>
      </c>
      <c r="I541" s="13" t="n">
        <v>1774.74</v>
      </c>
      <c r="J541" s="13" t="n">
        <v>92.66</v>
      </c>
      <c r="K541" s="16" t="n">
        <v>11</v>
      </c>
      <c r="L541" t="inlineStr">
        <is>
          <t>Shipped</t>
        </is>
      </c>
      <c r="M541" t="inlineStr">
        <is>
          <t>PAY05</t>
        </is>
      </c>
      <c r="N541" t="inlineStr">
        <is>
          <t>Evening</t>
        </is>
      </c>
      <c r="O541">
        <f>INDEX(Products_Catalog!$B$2:$B$151, MATCH(C541, Products_Catalog!$A$2:$A$151, 0))</f>
        <v/>
      </c>
      <c r="P541" s="13">
        <f>INDEX(Products_Catalog!$D$2:$D$151, MATCH(C541, Products_Catalog!$A$2:$A$151, 0))</f>
        <v/>
      </c>
      <c r="Q541" s="13">
        <f>I541-J541</f>
        <v/>
      </c>
      <c r="R541" s="15">
        <f>IF(K541&gt;20, "BREACH", "OK")</f>
        <v/>
      </c>
    </row>
    <row r="542">
      <c r="A542" t="inlineStr">
        <is>
          <t>ORD01597</t>
        </is>
      </c>
      <c r="B542" t="inlineStr">
        <is>
          <t>CUST0040</t>
        </is>
      </c>
      <c r="C542" t="inlineStr">
        <is>
          <t>PROD059</t>
        </is>
      </c>
      <c r="D542" t="inlineStr">
        <is>
          <t>STORE020</t>
        </is>
      </c>
      <c r="E542" t="inlineStr">
        <is>
          <t>DP010</t>
        </is>
      </c>
      <c r="F542" t="inlineStr">
        <is>
          <t>2024-07-08 10:53:00</t>
        </is>
      </c>
      <c r="G542" t="inlineStr">
        <is>
          <t>2024-07-08 11:05:00</t>
        </is>
      </c>
      <c r="H542" s="14" t="n">
        <v>1</v>
      </c>
      <c r="I542" s="13" t="n">
        <v>232.08</v>
      </c>
      <c r="J542" s="13" t="n">
        <v>66.58</v>
      </c>
      <c r="K542" s="16" t="n">
        <v>12</v>
      </c>
      <c r="L542" t="inlineStr">
        <is>
          <t>Pending</t>
        </is>
      </c>
      <c r="M542" t="inlineStr">
        <is>
          <t>PAY01</t>
        </is>
      </c>
      <c r="N542" t="inlineStr">
        <is>
          <t>Morning</t>
        </is>
      </c>
      <c r="O542">
        <f>INDEX(Products_Catalog!$B$2:$B$151, MATCH(C542, Products_Catalog!$A$2:$A$151, 0))</f>
        <v/>
      </c>
      <c r="P542" s="13">
        <f>INDEX(Products_Catalog!$D$2:$D$151, MATCH(C542, Products_Catalog!$A$2:$A$151, 0))</f>
        <v/>
      </c>
      <c r="Q542" s="13">
        <f>I542-J542</f>
        <v/>
      </c>
      <c r="R542" s="15">
        <f>IF(K542&gt;20, "BREACH", "OK")</f>
        <v/>
      </c>
    </row>
    <row r="543">
      <c r="A543" t="inlineStr">
        <is>
          <t>ORD01598</t>
        </is>
      </c>
      <c r="B543" t="inlineStr">
        <is>
          <t>CUST0009</t>
        </is>
      </c>
      <c r="C543" t="inlineStr">
        <is>
          <t>PROD137</t>
        </is>
      </c>
      <c r="D543" t="inlineStr">
        <is>
          <t>STORE012</t>
        </is>
      </c>
      <c r="E543" t="inlineStr">
        <is>
          <t>DP004</t>
        </is>
      </c>
      <c r="F543" t="inlineStr">
        <is>
          <t>2024-07-01 17:53:00</t>
        </is>
      </c>
      <c r="G543" t="inlineStr">
        <is>
          <t>2024-07-01 18:06:00</t>
        </is>
      </c>
      <c r="H543" s="14" t="n">
        <v>9</v>
      </c>
      <c r="I543" s="13" t="n">
        <v>3549.06</v>
      </c>
      <c r="J543" s="13" t="n">
        <v>984.08</v>
      </c>
      <c r="K543" s="16" t="n">
        <v>13</v>
      </c>
      <c r="L543" t="inlineStr">
        <is>
          <t>Cancelled</t>
        </is>
      </c>
      <c r="M543" t="inlineStr">
        <is>
          <t>PAY05</t>
        </is>
      </c>
      <c r="N543" t="inlineStr">
        <is>
          <t>Evening</t>
        </is>
      </c>
      <c r="O543">
        <f>INDEX(Products_Catalog!$B$2:$B$151, MATCH(C543, Products_Catalog!$A$2:$A$151, 0))</f>
        <v/>
      </c>
      <c r="P543" s="13">
        <f>INDEX(Products_Catalog!$D$2:$D$151, MATCH(C543, Products_Catalog!$A$2:$A$151, 0))</f>
        <v/>
      </c>
      <c r="Q543" s="13">
        <f>I543-J543</f>
        <v/>
      </c>
      <c r="R543" s="15">
        <f>IF(K543&gt;20, "BREACH", "OK")</f>
        <v/>
      </c>
    </row>
    <row r="544">
      <c r="A544" t="inlineStr">
        <is>
          <t>ORD01599</t>
        </is>
      </c>
      <c r="B544" t="inlineStr">
        <is>
          <t>CUST0002</t>
        </is>
      </c>
      <c r="C544" t="inlineStr">
        <is>
          <t>PROD093</t>
        </is>
      </c>
      <c r="D544" t="inlineStr">
        <is>
          <t>STORE018</t>
        </is>
      </c>
      <c r="E544" t="inlineStr">
        <is>
          <t>DP016</t>
        </is>
      </c>
      <c r="F544" t="inlineStr">
        <is>
          <t>2024-01-25 10:03:00</t>
        </is>
      </c>
      <c r="G544" t="inlineStr">
        <is>
          <t>2024-01-25 10:17:00</t>
        </is>
      </c>
      <c r="H544" s="14" t="n">
        <v>1</v>
      </c>
      <c r="I544" s="13" t="n">
        <v>254.67</v>
      </c>
      <c r="J544" s="13" t="n">
        <v>69.38</v>
      </c>
      <c r="K544" s="16" t="n">
        <v>14</v>
      </c>
      <c r="L544" t="inlineStr">
        <is>
          <t>Cancelled</t>
        </is>
      </c>
      <c r="M544" t="inlineStr">
        <is>
          <t>PAY03</t>
        </is>
      </c>
      <c r="N544" t="inlineStr">
        <is>
          <t>Morning</t>
        </is>
      </c>
      <c r="O544">
        <f>INDEX(Products_Catalog!$B$2:$B$151, MATCH(C544, Products_Catalog!$A$2:$A$151, 0))</f>
        <v/>
      </c>
      <c r="P544" s="13">
        <f>INDEX(Products_Catalog!$D$2:$D$151, MATCH(C544, Products_Catalog!$A$2:$A$151, 0))</f>
        <v/>
      </c>
      <c r="Q544" s="13">
        <f>I544-J544</f>
        <v/>
      </c>
      <c r="R544" s="15">
        <f>IF(K544&gt;20, "BREACH", "OK")</f>
        <v/>
      </c>
    </row>
    <row r="545">
      <c r="A545" t="inlineStr">
        <is>
          <t>ORD01600</t>
        </is>
      </c>
      <c r="B545" t="inlineStr">
        <is>
          <t>CUST0013</t>
        </is>
      </c>
      <c r="C545" t="inlineStr">
        <is>
          <t>PROD125</t>
        </is>
      </c>
      <c r="D545" t="inlineStr">
        <is>
          <t>STORE013</t>
        </is>
      </c>
      <c r="E545" t="inlineStr">
        <is>
          <t>DP003</t>
        </is>
      </c>
      <c r="F545" t="inlineStr">
        <is>
          <t>2024-03-20 16:49:00</t>
        </is>
      </c>
      <c r="G545" t="inlineStr">
        <is>
          <t>2024-03-20 17:04:00</t>
        </is>
      </c>
      <c r="H545" s="14" t="n">
        <v>9</v>
      </c>
      <c r="I545" s="13" t="n">
        <v>3586.14</v>
      </c>
      <c r="J545" s="13" t="n">
        <v>1072.05</v>
      </c>
      <c r="K545" s="16" t="n">
        <v>15</v>
      </c>
      <c r="L545" t="inlineStr">
        <is>
          <t>Pending</t>
        </is>
      </c>
      <c r="M545" t="inlineStr">
        <is>
          <t>PAY03</t>
        </is>
      </c>
      <c r="N545" t="inlineStr">
        <is>
          <t>Afternoon</t>
        </is>
      </c>
      <c r="O545">
        <f>INDEX(Products_Catalog!$B$2:$B$151, MATCH(C545, Products_Catalog!$A$2:$A$151, 0))</f>
        <v/>
      </c>
      <c r="P545" s="13">
        <f>INDEX(Products_Catalog!$D$2:$D$151, MATCH(C545, Products_Catalog!$A$2:$A$151, 0))</f>
        <v/>
      </c>
      <c r="Q545" s="13">
        <f>I545-J545</f>
        <v/>
      </c>
      <c r="R545" s="15">
        <f>IF(K545&gt;20, "BREACH", "OK")</f>
        <v/>
      </c>
    </row>
    <row r="546">
      <c r="A546" t="inlineStr">
        <is>
          <t>ORD01601</t>
        </is>
      </c>
      <c r="B546" t="inlineStr">
        <is>
          <t>CUST0049</t>
        </is>
      </c>
      <c r="C546" t="inlineStr">
        <is>
          <t>PROD030</t>
        </is>
      </c>
      <c r="D546" t="inlineStr">
        <is>
          <t>STORE014</t>
        </is>
      </c>
      <c r="E546" t="inlineStr">
        <is>
          <t>DP047</t>
        </is>
      </c>
      <c r="F546" t="inlineStr">
        <is>
          <t>2024-01-10 19:47:00</t>
        </is>
      </c>
      <c r="G546" t="inlineStr">
        <is>
          <t>2024-01-10 20:03:00</t>
        </is>
      </c>
      <c r="H546" s="14" t="n">
        <v>8</v>
      </c>
      <c r="I546" s="13" t="n">
        <v>3328.72</v>
      </c>
      <c r="J546" s="13" t="n">
        <v>938.51</v>
      </c>
      <c r="K546" s="16" t="n">
        <v>16</v>
      </c>
      <c r="L546" t="inlineStr">
        <is>
          <t>Delivered</t>
        </is>
      </c>
      <c r="M546" t="inlineStr">
        <is>
          <t>PAY05</t>
        </is>
      </c>
      <c r="N546" t="inlineStr">
        <is>
          <t>Evening</t>
        </is>
      </c>
      <c r="O546">
        <f>INDEX(Products_Catalog!$B$2:$B$151, MATCH(C546, Products_Catalog!$A$2:$A$151, 0))</f>
        <v/>
      </c>
      <c r="P546" s="13">
        <f>INDEX(Products_Catalog!$D$2:$D$151, MATCH(C546, Products_Catalog!$A$2:$A$151, 0))</f>
        <v/>
      </c>
      <c r="Q546" s="13">
        <f>I546-J546</f>
        <v/>
      </c>
      <c r="R546" s="15">
        <f>IF(K546&gt;20, "BREACH", "OK")</f>
        <v/>
      </c>
    </row>
    <row r="547">
      <c r="A547" t="inlineStr">
        <is>
          <t>ORD01602</t>
        </is>
      </c>
      <c r="B547" t="inlineStr">
        <is>
          <t>CUST0026</t>
        </is>
      </c>
      <c r="C547" t="inlineStr">
        <is>
          <t>PROD059</t>
        </is>
      </c>
      <c r="D547" t="inlineStr">
        <is>
          <t>STORE030</t>
        </is>
      </c>
      <c r="E547" t="inlineStr">
        <is>
          <t>DP009</t>
        </is>
      </c>
      <c r="F547" t="inlineStr">
        <is>
          <t>2024-11-10 19:57:00</t>
        </is>
      </c>
      <c r="G547" t="inlineStr">
        <is>
          <t>2024-11-10 20:19:00</t>
        </is>
      </c>
      <c r="H547" s="14" t="n">
        <v>8</v>
      </c>
      <c r="I547" s="13" t="n">
        <v>3009.44</v>
      </c>
      <c r="J547" s="13" t="n">
        <v>539.9</v>
      </c>
      <c r="K547" s="16" t="n">
        <v>22</v>
      </c>
      <c r="L547" t="inlineStr">
        <is>
          <t>Cancelled</t>
        </is>
      </c>
      <c r="M547" t="inlineStr">
        <is>
          <t>PAY03</t>
        </is>
      </c>
      <c r="N547" t="inlineStr">
        <is>
          <t>Evening</t>
        </is>
      </c>
      <c r="O547">
        <f>INDEX(Products_Catalog!$B$2:$B$151, MATCH(C547, Products_Catalog!$A$2:$A$151, 0))</f>
        <v/>
      </c>
      <c r="P547" s="13">
        <f>INDEX(Products_Catalog!$D$2:$D$151, MATCH(C547, Products_Catalog!$A$2:$A$151, 0))</f>
        <v/>
      </c>
      <c r="Q547" s="13">
        <f>I547-J547</f>
        <v/>
      </c>
      <c r="R547" s="15">
        <f>IF(K547&gt;20, "BREACH", "OK")</f>
        <v/>
      </c>
    </row>
    <row r="548">
      <c r="A548" t="inlineStr">
        <is>
          <t>ORD01603</t>
        </is>
      </c>
      <c r="B548" t="inlineStr">
        <is>
          <t>CUST0043</t>
        </is>
      </c>
      <c r="C548" t="inlineStr">
        <is>
          <t>PROD071</t>
        </is>
      </c>
      <c r="D548" t="inlineStr">
        <is>
          <t>STORE035</t>
        </is>
      </c>
      <c r="E548" t="inlineStr">
        <is>
          <t>DP027</t>
        </is>
      </c>
      <c r="F548" t="inlineStr">
        <is>
          <t>2025-04-07 20:35:00</t>
        </is>
      </c>
      <c r="G548" t="inlineStr">
        <is>
          <t>2025-04-07 20:58:00</t>
        </is>
      </c>
      <c r="H548" s="14" t="n">
        <v>7</v>
      </c>
      <c r="I548" s="13" t="n">
        <v>1940.82</v>
      </c>
      <c r="J548" s="13" t="n">
        <v>207.72</v>
      </c>
      <c r="K548" s="16" t="n">
        <v>23</v>
      </c>
      <c r="L548" t="inlineStr">
        <is>
          <t>Pending</t>
        </is>
      </c>
      <c r="M548" t="inlineStr">
        <is>
          <t>PAY05</t>
        </is>
      </c>
      <c r="N548" t="inlineStr">
        <is>
          <t>Evening</t>
        </is>
      </c>
      <c r="O548">
        <f>INDEX(Products_Catalog!$B$2:$B$151, MATCH(C548, Products_Catalog!$A$2:$A$151, 0))</f>
        <v/>
      </c>
      <c r="P548" s="13">
        <f>INDEX(Products_Catalog!$D$2:$D$151, MATCH(C548, Products_Catalog!$A$2:$A$151, 0))</f>
        <v/>
      </c>
      <c r="Q548" s="13">
        <f>I548-J548</f>
        <v/>
      </c>
      <c r="R548" s="15">
        <f>IF(K548&gt;20, "BREACH", "OK")</f>
        <v/>
      </c>
    </row>
    <row r="549">
      <c r="A549" t="inlineStr">
        <is>
          <t>ORD01604</t>
        </is>
      </c>
      <c r="B549" t="inlineStr">
        <is>
          <t>CUST0020</t>
        </is>
      </c>
      <c r="C549" t="inlineStr">
        <is>
          <t>PROD057</t>
        </is>
      </c>
      <c r="D549" t="inlineStr">
        <is>
          <t>STORE006</t>
        </is>
      </c>
      <c r="E549" t="inlineStr">
        <is>
          <t>DP012</t>
        </is>
      </c>
      <c r="F549" t="inlineStr">
        <is>
          <t>2024-09-23 14:46:00</t>
        </is>
      </c>
      <c r="G549" t="inlineStr">
        <is>
          <t>2024-09-23 15:10:00</t>
        </is>
      </c>
      <c r="H549" s="14" t="n">
        <v>6</v>
      </c>
      <c r="I549" s="13" t="n">
        <v>2992.44</v>
      </c>
      <c r="J549" s="13" t="n">
        <v>391.57</v>
      </c>
      <c r="K549" s="16" t="n">
        <v>24</v>
      </c>
      <c r="L549" t="inlineStr">
        <is>
          <t>Pending</t>
        </is>
      </c>
      <c r="M549" t="inlineStr">
        <is>
          <t>PAY01</t>
        </is>
      </c>
      <c r="N549" t="inlineStr">
        <is>
          <t>Afternoon</t>
        </is>
      </c>
      <c r="O549">
        <f>INDEX(Products_Catalog!$B$2:$B$151, MATCH(C549, Products_Catalog!$A$2:$A$151, 0))</f>
        <v/>
      </c>
      <c r="P549" s="13">
        <f>INDEX(Products_Catalog!$D$2:$D$151, MATCH(C549, Products_Catalog!$A$2:$A$151, 0))</f>
        <v/>
      </c>
      <c r="Q549" s="13">
        <f>I549-J549</f>
        <v/>
      </c>
      <c r="R549" s="15">
        <f>IF(K549&gt;20, "BREACH", "OK")</f>
        <v/>
      </c>
    </row>
    <row r="550">
      <c r="A550" t="inlineStr">
        <is>
          <t>ORD01606</t>
        </is>
      </c>
      <c r="B550" t="inlineStr">
        <is>
          <t>CUST0003</t>
        </is>
      </c>
      <c r="C550" t="inlineStr">
        <is>
          <t>PROD118</t>
        </is>
      </c>
      <c r="D550" t="inlineStr">
        <is>
          <t>STORE002</t>
        </is>
      </c>
      <c r="E550" t="inlineStr">
        <is>
          <t>DP032</t>
        </is>
      </c>
      <c r="F550" t="inlineStr">
        <is>
          <t>2024-04-11 15:23:00</t>
        </is>
      </c>
      <c r="G550" t="inlineStr">
        <is>
          <t>2024-04-11 15:49:00</t>
        </is>
      </c>
      <c r="H550" s="14" t="n">
        <v>7</v>
      </c>
      <c r="I550" s="13" t="n">
        <v>2822.89</v>
      </c>
      <c r="J550" s="13" t="n">
        <v>468.56</v>
      </c>
      <c r="K550" s="16" t="n">
        <v>26</v>
      </c>
      <c r="L550" t="inlineStr">
        <is>
          <t>Delivered</t>
        </is>
      </c>
      <c r="M550" t="inlineStr">
        <is>
          <t>PAY02</t>
        </is>
      </c>
      <c r="N550" t="inlineStr">
        <is>
          <t>Afternoon</t>
        </is>
      </c>
      <c r="O550">
        <f>INDEX(Products_Catalog!$B$2:$B$151, MATCH(C550, Products_Catalog!$A$2:$A$151, 0))</f>
        <v/>
      </c>
      <c r="P550" s="13">
        <f>INDEX(Products_Catalog!$D$2:$D$151, MATCH(C550, Products_Catalog!$A$2:$A$151, 0))</f>
        <v/>
      </c>
      <c r="Q550" s="13">
        <f>I550-J550</f>
        <v/>
      </c>
      <c r="R550" s="15">
        <f>IF(K550&gt;20, "BREACH", "OK")</f>
        <v/>
      </c>
    </row>
    <row r="551">
      <c r="A551" t="inlineStr">
        <is>
          <t>ORD01608</t>
        </is>
      </c>
      <c r="B551" t="inlineStr">
        <is>
          <t>CUST0038</t>
        </is>
      </c>
      <c r="C551" t="inlineStr">
        <is>
          <t>PROD149</t>
        </is>
      </c>
      <c r="D551" t="inlineStr">
        <is>
          <t>STORE045</t>
        </is>
      </c>
      <c r="E551" t="inlineStr">
        <is>
          <t>DP036</t>
        </is>
      </c>
      <c r="F551" t="inlineStr">
        <is>
          <t>2024-09-12 11:00:00</t>
        </is>
      </c>
      <c r="G551" t="inlineStr">
        <is>
          <t>2024-09-12 11:18:00</t>
        </is>
      </c>
      <c r="H551" s="14" t="n">
        <v>1</v>
      </c>
      <c r="I551" s="13" t="n">
        <v>158.1</v>
      </c>
      <c r="J551" s="13" t="n">
        <v>23.66</v>
      </c>
      <c r="K551" s="16" t="n">
        <v>18</v>
      </c>
      <c r="L551" t="inlineStr">
        <is>
          <t>Shipped</t>
        </is>
      </c>
      <c r="M551" t="inlineStr">
        <is>
          <t>PAY05</t>
        </is>
      </c>
      <c r="N551" t="inlineStr">
        <is>
          <t>Morning</t>
        </is>
      </c>
      <c r="O551">
        <f>INDEX(Products_Catalog!$B$2:$B$151, MATCH(C551, Products_Catalog!$A$2:$A$151, 0))</f>
        <v/>
      </c>
      <c r="P551" s="13">
        <f>INDEX(Products_Catalog!$D$2:$D$151, MATCH(C551, Products_Catalog!$A$2:$A$151, 0))</f>
        <v/>
      </c>
      <c r="Q551" s="13">
        <f>I551-J551</f>
        <v/>
      </c>
      <c r="R551" s="15">
        <f>IF(K551&gt;20, "BREACH", "OK")</f>
        <v/>
      </c>
    </row>
    <row r="552">
      <c r="A552" t="inlineStr">
        <is>
          <t>ORD01611</t>
        </is>
      </c>
      <c r="B552" t="inlineStr">
        <is>
          <t>CUST0026</t>
        </is>
      </c>
      <c r="C552" t="inlineStr">
        <is>
          <t>PROD129</t>
        </is>
      </c>
      <c r="D552" t="inlineStr">
        <is>
          <t>STORE014</t>
        </is>
      </c>
      <c r="E552" t="inlineStr">
        <is>
          <t>DP046</t>
        </is>
      </c>
      <c r="F552" t="inlineStr">
        <is>
          <t>2025-03-31 09:44:00</t>
        </is>
      </c>
      <c r="G552" t="inlineStr">
        <is>
          <t>2025-03-31 10:05:00</t>
        </is>
      </c>
      <c r="H552" s="14" t="n">
        <v>4</v>
      </c>
      <c r="I552" s="13" t="n">
        <v>795.6799999999999</v>
      </c>
      <c r="J552" s="13" t="n">
        <v>209.53</v>
      </c>
      <c r="K552" s="16" t="n">
        <v>21</v>
      </c>
      <c r="L552" t="inlineStr">
        <is>
          <t>Cancelled</t>
        </is>
      </c>
      <c r="M552" t="inlineStr">
        <is>
          <t>PAY02</t>
        </is>
      </c>
      <c r="N552" t="inlineStr">
        <is>
          <t>Morning</t>
        </is>
      </c>
      <c r="O552">
        <f>INDEX(Products_Catalog!$B$2:$B$151, MATCH(C552, Products_Catalog!$A$2:$A$151, 0))</f>
        <v/>
      </c>
      <c r="P552" s="13">
        <f>INDEX(Products_Catalog!$D$2:$D$151, MATCH(C552, Products_Catalog!$A$2:$A$151, 0))</f>
        <v/>
      </c>
      <c r="Q552" s="13">
        <f>I552-J552</f>
        <v/>
      </c>
      <c r="R552" s="15">
        <f>IF(K552&gt;20, "BREACH", "OK")</f>
        <v/>
      </c>
    </row>
    <row r="553">
      <c r="A553" t="inlineStr">
        <is>
          <t>ORD01612</t>
        </is>
      </c>
      <c r="B553" t="inlineStr">
        <is>
          <t>CUST0018</t>
        </is>
      </c>
      <c r="C553" t="inlineStr">
        <is>
          <t>PROD041</t>
        </is>
      </c>
      <c r="D553" t="inlineStr">
        <is>
          <t>STORE004</t>
        </is>
      </c>
      <c r="E553" t="inlineStr">
        <is>
          <t>DP035</t>
        </is>
      </c>
      <c r="F553" t="inlineStr">
        <is>
          <t>2025-03-26 10:33:00</t>
        </is>
      </c>
      <c r="G553" t="inlineStr">
        <is>
          <t>2025-03-26 10:55:00</t>
        </is>
      </c>
      <c r="H553" s="14" t="n">
        <v>2</v>
      </c>
      <c r="I553" s="13" t="n">
        <v>179.98</v>
      </c>
      <c r="J553" s="13" t="n">
        <v>48.81</v>
      </c>
      <c r="K553" s="16" t="n">
        <v>22</v>
      </c>
      <c r="L553" t="inlineStr">
        <is>
          <t>Cancelled</t>
        </is>
      </c>
      <c r="M553" t="inlineStr">
        <is>
          <t>PAY02</t>
        </is>
      </c>
      <c r="N553" t="inlineStr">
        <is>
          <t>Morning</t>
        </is>
      </c>
      <c r="O553">
        <f>INDEX(Products_Catalog!$B$2:$B$151, MATCH(C553, Products_Catalog!$A$2:$A$151, 0))</f>
        <v/>
      </c>
      <c r="P553" s="13">
        <f>INDEX(Products_Catalog!$D$2:$D$151, MATCH(C553, Products_Catalog!$A$2:$A$151, 0))</f>
        <v/>
      </c>
      <c r="Q553" s="13">
        <f>I553-J553</f>
        <v/>
      </c>
      <c r="R553" s="15">
        <f>IF(K553&gt;20, "BREACH", "OK")</f>
        <v/>
      </c>
    </row>
    <row r="554">
      <c r="A554" t="inlineStr">
        <is>
          <t>ORD01614</t>
        </is>
      </c>
      <c r="B554" t="inlineStr">
        <is>
          <t>CUST0037</t>
        </is>
      </c>
      <c r="C554" t="inlineStr">
        <is>
          <t>PROD052</t>
        </is>
      </c>
      <c r="D554" t="inlineStr">
        <is>
          <t>STORE039</t>
        </is>
      </c>
      <c r="E554" t="inlineStr">
        <is>
          <t>DP047</t>
        </is>
      </c>
      <c r="F554" t="inlineStr">
        <is>
          <t>2025-01-30 16:03:00</t>
        </is>
      </c>
      <c r="G554" t="inlineStr">
        <is>
          <t>2025-01-30 16:27:00</t>
        </is>
      </c>
      <c r="H554" s="14" t="n">
        <v>2</v>
      </c>
      <c r="I554" s="13" t="n">
        <v>919.14</v>
      </c>
      <c r="J554" s="13" t="n">
        <v>164.53</v>
      </c>
      <c r="K554" s="16" t="n">
        <v>24</v>
      </c>
      <c r="L554" t="inlineStr">
        <is>
          <t>Shipped</t>
        </is>
      </c>
      <c r="M554" t="inlineStr">
        <is>
          <t>PAY04</t>
        </is>
      </c>
      <c r="N554" t="inlineStr">
        <is>
          <t>Afternoon</t>
        </is>
      </c>
      <c r="O554">
        <f>INDEX(Products_Catalog!$B$2:$B$151, MATCH(C554, Products_Catalog!$A$2:$A$151, 0))</f>
        <v/>
      </c>
      <c r="P554" s="13">
        <f>INDEX(Products_Catalog!$D$2:$D$151, MATCH(C554, Products_Catalog!$A$2:$A$151, 0))</f>
        <v/>
      </c>
      <c r="Q554" s="13">
        <f>I554-J554</f>
        <v/>
      </c>
      <c r="R554" s="15">
        <f>IF(K554&gt;20, "BREACH", "OK")</f>
        <v/>
      </c>
    </row>
    <row r="555">
      <c r="A555" t="inlineStr">
        <is>
          <t>ORD01615</t>
        </is>
      </c>
      <c r="B555" t="inlineStr">
        <is>
          <t>CUST0027</t>
        </is>
      </c>
      <c r="C555" t="inlineStr">
        <is>
          <t>PROD078</t>
        </is>
      </c>
      <c r="D555" t="inlineStr">
        <is>
          <t>STORE013</t>
        </is>
      </c>
      <c r="E555" t="inlineStr">
        <is>
          <t>DP003</t>
        </is>
      </c>
      <c r="F555" t="inlineStr">
        <is>
          <t>2024-08-26 16:21:00</t>
        </is>
      </c>
      <c r="G555" t="inlineStr">
        <is>
          <t>2024-08-26 16:46:00</t>
        </is>
      </c>
      <c r="H555" s="14" t="n">
        <v>2</v>
      </c>
      <c r="I555" s="13" t="n">
        <v>274.58</v>
      </c>
      <c r="J555" s="13" t="n">
        <v>39.06</v>
      </c>
      <c r="K555" s="16" t="n">
        <v>25</v>
      </c>
      <c r="L555" t="inlineStr">
        <is>
          <t>Cancelled</t>
        </is>
      </c>
      <c r="M555" t="inlineStr">
        <is>
          <t>PAY03</t>
        </is>
      </c>
      <c r="N555" t="inlineStr">
        <is>
          <t>Afternoon</t>
        </is>
      </c>
      <c r="O555">
        <f>INDEX(Products_Catalog!$B$2:$B$151, MATCH(C555, Products_Catalog!$A$2:$A$151, 0))</f>
        <v/>
      </c>
      <c r="P555" s="13">
        <f>INDEX(Products_Catalog!$D$2:$D$151, MATCH(C555, Products_Catalog!$A$2:$A$151, 0))</f>
        <v/>
      </c>
      <c r="Q555" s="13">
        <f>I555-J555</f>
        <v/>
      </c>
      <c r="R555" s="15">
        <f>IF(K555&gt;20, "BREACH", "OK")</f>
        <v/>
      </c>
    </row>
    <row r="556">
      <c r="A556" t="inlineStr">
        <is>
          <t>ORD01616</t>
        </is>
      </c>
      <c r="B556" t="inlineStr">
        <is>
          <t>CUST0050</t>
        </is>
      </c>
      <c r="C556" t="inlineStr">
        <is>
          <t>PROD089</t>
        </is>
      </c>
      <c r="D556" t="inlineStr">
        <is>
          <t>STORE029</t>
        </is>
      </c>
      <c r="E556" t="inlineStr">
        <is>
          <t>DP004</t>
        </is>
      </c>
      <c r="F556" t="inlineStr">
        <is>
          <t>2025-06-05 15:47:00</t>
        </is>
      </c>
      <c r="G556" t="inlineStr">
        <is>
          <t>2025-06-05 16:13:00</t>
        </is>
      </c>
      <c r="H556" s="14" t="n">
        <v>6</v>
      </c>
      <c r="I556" s="13" t="n">
        <v>2002.86</v>
      </c>
      <c r="J556" s="13" t="n">
        <v>427.44</v>
      </c>
      <c r="K556" s="16" t="n">
        <v>26</v>
      </c>
      <c r="L556" t="inlineStr">
        <is>
          <t>Delivered</t>
        </is>
      </c>
      <c r="M556" t="inlineStr">
        <is>
          <t>PAY05</t>
        </is>
      </c>
      <c r="N556" t="inlineStr">
        <is>
          <t>Afternoon</t>
        </is>
      </c>
      <c r="O556">
        <f>INDEX(Products_Catalog!$B$2:$B$151, MATCH(C556, Products_Catalog!$A$2:$A$151, 0))</f>
        <v/>
      </c>
      <c r="P556" s="13">
        <f>INDEX(Products_Catalog!$D$2:$D$151, MATCH(C556, Products_Catalog!$A$2:$A$151, 0))</f>
        <v/>
      </c>
      <c r="Q556" s="13">
        <f>I556-J556</f>
        <v/>
      </c>
      <c r="R556" s="15">
        <f>IF(K556&gt;20, "BREACH", "OK")</f>
        <v/>
      </c>
    </row>
    <row r="557">
      <c r="A557" t="inlineStr">
        <is>
          <t>ORD01617</t>
        </is>
      </c>
      <c r="B557" t="inlineStr">
        <is>
          <t>CUST0038</t>
        </is>
      </c>
      <c r="C557" t="inlineStr">
        <is>
          <t>PROD148</t>
        </is>
      </c>
      <c r="D557" t="inlineStr">
        <is>
          <t>STORE045</t>
        </is>
      </c>
      <c r="E557" t="inlineStr">
        <is>
          <t>DP019</t>
        </is>
      </c>
      <c r="F557" t="inlineStr">
        <is>
          <t>2024-06-27 10:08:00</t>
        </is>
      </c>
      <c r="G557" t="inlineStr">
        <is>
          <t>2024-06-27 10:35:00</t>
        </is>
      </c>
      <c r="H557" s="14" t="n">
        <v>8</v>
      </c>
      <c r="I557" s="13" t="n">
        <v>3277.68</v>
      </c>
      <c r="J557" s="13" t="n">
        <v>278.33</v>
      </c>
      <c r="K557" s="16" t="n">
        <v>27</v>
      </c>
      <c r="L557" t="inlineStr">
        <is>
          <t>Returned</t>
        </is>
      </c>
      <c r="M557" t="inlineStr">
        <is>
          <t>PAY03</t>
        </is>
      </c>
      <c r="N557" t="inlineStr">
        <is>
          <t>Morning</t>
        </is>
      </c>
      <c r="O557">
        <f>INDEX(Products_Catalog!$B$2:$B$151, MATCH(C557, Products_Catalog!$A$2:$A$151, 0))</f>
        <v/>
      </c>
      <c r="P557" s="13">
        <f>INDEX(Products_Catalog!$D$2:$D$151, MATCH(C557, Products_Catalog!$A$2:$A$151, 0))</f>
        <v/>
      </c>
      <c r="Q557" s="13">
        <f>I557-J557</f>
        <v/>
      </c>
      <c r="R557" s="15">
        <f>IF(K557&gt;20, "BREACH", "OK")</f>
        <v/>
      </c>
    </row>
    <row r="558">
      <c r="A558" t="inlineStr">
        <is>
          <t>ORD01618</t>
        </is>
      </c>
      <c r="B558" t="inlineStr">
        <is>
          <t>CUST0032</t>
        </is>
      </c>
      <c r="C558" t="inlineStr">
        <is>
          <t>PROD124</t>
        </is>
      </c>
      <c r="D558" t="inlineStr">
        <is>
          <t>STORE004</t>
        </is>
      </c>
      <c r="E558" t="inlineStr">
        <is>
          <t>DP003</t>
        </is>
      </c>
      <c r="F558" t="inlineStr">
        <is>
          <t>2025-02-10 12:55:00</t>
        </is>
      </c>
      <c r="G558" t="inlineStr">
        <is>
          <t>2025-02-10 13:23:00</t>
        </is>
      </c>
      <c r="H558" s="14" t="n">
        <v>3</v>
      </c>
      <c r="I558" s="13" t="n">
        <v>1206.03</v>
      </c>
      <c r="J558" s="13" t="n">
        <v>359.08</v>
      </c>
      <c r="K558" s="16" t="n">
        <v>28</v>
      </c>
      <c r="L558" t="inlineStr">
        <is>
          <t>Cancelled</t>
        </is>
      </c>
      <c r="M558" t="inlineStr">
        <is>
          <t>PAY04</t>
        </is>
      </c>
      <c r="N558" t="inlineStr">
        <is>
          <t>Afternoon</t>
        </is>
      </c>
      <c r="O558">
        <f>INDEX(Products_Catalog!$B$2:$B$151, MATCH(C558, Products_Catalog!$A$2:$A$151, 0))</f>
        <v/>
      </c>
      <c r="P558" s="13">
        <f>INDEX(Products_Catalog!$D$2:$D$151, MATCH(C558, Products_Catalog!$A$2:$A$151, 0))</f>
        <v/>
      </c>
      <c r="Q558" s="13">
        <f>I558-J558</f>
        <v/>
      </c>
      <c r="R558" s="15">
        <f>IF(K558&gt;20, "BREACH", "OK")</f>
        <v/>
      </c>
    </row>
    <row r="559">
      <c r="A559" t="inlineStr">
        <is>
          <t>ORD01619</t>
        </is>
      </c>
      <c r="B559" t="inlineStr">
        <is>
          <t>CUST0006</t>
        </is>
      </c>
      <c r="C559" t="inlineStr">
        <is>
          <t>PROD012</t>
        </is>
      </c>
      <c r="D559" t="inlineStr">
        <is>
          <t>STORE048</t>
        </is>
      </c>
      <c r="E559" t="inlineStr">
        <is>
          <t>DP042</t>
        </is>
      </c>
      <c r="F559" t="inlineStr">
        <is>
          <t>2025-01-13 17:41:00</t>
        </is>
      </c>
      <c r="G559" t="inlineStr">
        <is>
          <t>2025-01-13 18:10:00</t>
        </is>
      </c>
      <c r="H559" s="14" t="n">
        <v>10</v>
      </c>
      <c r="I559" s="13" t="n">
        <v>3498.2</v>
      </c>
      <c r="J559" s="13" t="n">
        <v>148.9</v>
      </c>
      <c r="K559" s="16" t="n">
        <v>29</v>
      </c>
      <c r="L559" t="inlineStr">
        <is>
          <t>Pending</t>
        </is>
      </c>
      <c r="M559" t="inlineStr">
        <is>
          <t>PAY04</t>
        </is>
      </c>
      <c r="N559" t="inlineStr">
        <is>
          <t>Evening</t>
        </is>
      </c>
      <c r="O559">
        <f>INDEX(Products_Catalog!$B$2:$B$151, MATCH(C559, Products_Catalog!$A$2:$A$151, 0))</f>
        <v/>
      </c>
      <c r="P559" s="13">
        <f>INDEX(Products_Catalog!$D$2:$D$151, MATCH(C559, Products_Catalog!$A$2:$A$151, 0))</f>
        <v/>
      </c>
      <c r="Q559" s="13">
        <f>I559-J559</f>
        <v/>
      </c>
      <c r="R559" s="15">
        <f>IF(K559&gt;20, "BREACH", "OK")</f>
        <v/>
      </c>
    </row>
    <row r="560">
      <c r="A560" t="inlineStr">
        <is>
          <t>ORD01620</t>
        </is>
      </c>
      <c r="B560" t="inlineStr">
        <is>
          <t>CUST0022</t>
        </is>
      </c>
      <c r="C560" t="inlineStr">
        <is>
          <t>PROD049</t>
        </is>
      </c>
      <c r="D560" t="inlineStr">
        <is>
          <t>STORE004</t>
        </is>
      </c>
      <c r="E560" t="inlineStr">
        <is>
          <t>DP047</t>
        </is>
      </c>
      <c r="F560" t="inlineStr">
        <is>
          <t>2024-05-02 16:55:00</t>
        </is>
      </c>
      <c r="G560" t="inlineStr">
        <is>
          <t>2024-05-02 17:25:00</t>
        </is>
      </c>
      <c r="H560" s="14" t="n">
        <v>10</v>
      </c>
      <c r="I560" s="13" t="n">
        <v>3841.6</v>
      </c>
      <c r="J560" s="13" t="n">
        <v>19.71</v>
      </c>
      <c r="K560" s="16" t="n">
        <v>30</v>
      </c>
      <c r="L560" t="inlineStr">
        <is>
          <t>Cancelled</t>
        </is>
      </c>
      <c r="M560" t="inlineStr">
        <is>
          <t>PAY04</t>
        </is>
      </c>
      <c r="N560" t="inlineStr">
        <is>
          <t>Afternoon</t>
        </is>
      </c>
      <c r="O560">
        <f>INDEX(Products_Catalog!$B$2:$B$151, MATCH(C560, Products_Catalog!$A$2:$A$151, 0))</f>
        <v/>
      </c>
      <c r="P560" s="13">
        <f>INDEX(Products_Catalog!$D$2:$D$151, MATCH(C560, Products_Catalog!$A$2:$A$151, 0))</f>
        <v/>
      </c>
      <c r="Q560" s="13">
        <f>I560-J560</f>
        <v/>
      </c>
      <c r="R560" s="15">
        <f>IF(K560&gt;20, "BREACH", "OK")</f>
        <v/>
      </c>
    </row>
    <row r="561">
      <c r="A561" t="inlineStr">
        <is>
          <t>ORD01621</t>
        </is>
      </c>
      <c r="B561" t="inlineStr">
        <is>
          <t>CUST0025</t>
        </is>
      </c>
      <c r="C561" t="inlineStr">
        <is>
          <t>PROD078</t>
        </is>
      </c>
      <c r="D561" t="inlineStr">
        <is>
          <t>STORE039</t>
        </is>
      </c>
      <c r="E561" t="inlineStr">
        <is>
          <t>DP019</t>
        </is>
      </c>
      <c r="F561" t="inlineStr">
        <is>
          <t>2024-05-27 12:28:00</t>
        </is>
      </c>
      <c r="G561" t="inlineStr">
        <is>
          <t>2024-05-27 12:38:00</t>
        </is>
      </c>
      <c r="H561" s="14" t="n">
        <v>1</v>
      </c>
      <c r="I561" s="13" t="n">
        <v>402.85</v>
      </c>
      <c r="J561" s="13" t="n">
        <v>86.47</v>
      </c>
      <c r="K561" s="16" t="n">
        <v>10</v>
      </c>
      <c r="L561" t="inlineStr">
        <is>
          <t>Shipped</t>
        </is>
      </c>
      <c r="M561" t="inlineStr">
        <is>
          <t>PAY02</t>
        </is>
      </c>
      <c r="N561" t="inlineStr">
        <is>
          <t>Afternoon</t>
        </is>
      </c>
      <c r="O561">
        <f>INDEX(Products_Catalog!$B$2:$B$151, MATCH(C561, Products_Catalog!$A$2:$A$151, 0))</f>
        <v/>
      </c>
      <c r="P561" s="13">
        <f>INDEX(Products_Catalog!$D$2:$D$151, MATCH(C561, Products_Catalog!$A$2:$A$151, 0))</f>
        <v/>
      </c>
      <c r="Q561" s="13">
        <f>I561-J561</f>
        <v/>
      </c>
      <c r="R561" s="15">
        <f>IF(K561&gt;20, "BREACH", "OK")</f>
        <v/>
      </c>
    </row>
    <row r="562">
      <c r="A562" t="inlineStr">
        <is>
          <t>ORD01622</t>
        </is>
      </c>
      <c r="B562" t="inlineStr">
        <is>
          <t>CUST0008</t>
        </is>
      </c>
      <c r="C562" t="inlineStr">
        <is>
          <t>PROD071</t>
        </is>
      </c>
      <c r="D562" t="inlineStr">
        <is>
          <t>STORE004</t>
        </is>
      </c>
      <c r="E562" t="inlineStr">
        <is>
          <t>DP007</t>
        </is>
      </c>
      <c r="F562" t="inlineStr">
        <is>
          <t>2025-03-06 14:59:00</t>
        </is>
      </c>
      <c r="G562" t="inlineStr">
        <is>
          <t>2025-03-06 15:23:00</t>
        </is>
      </c>
      <c r="H562" s="14" t="n">
        <v>10</v>
      </c>
      <c r="I562" s="13" t="n">
        <v>3847.6</v>
      </c>
      <c r="J562" s="13" t="n">
        <v>763.84</v>
      </c>
      <c r="K562" s="16" t="n">
        <v>24</v>
      </c>
      <c r="L562" t="inlineStr">
        <is>
          <t>Returned</t>
        </is>
      </c>
      <c r="M562" t="inlineStr">
        <is>
          <t>PAY02</t>
        </is>
      </c>
      <c r="N562" t="inlineStr">
        <is>
          <t>Afternoon</t>
        </is>
      </c>
      <c r="O562">
        <f>INDEX(Products_Catalog!$B$2:$B$151, MATCH(C562, Products_Catalog!$A$2:$A$151, 0))</f>
        <v/>
      </c>
      <c r="P562" s="13">
        <f>INDEX(Products_Catalog!$D$2:$D$151, MATCH(C562, Products_Catalog!$A$2:$A$151, 0))</f>
        <v/>
      </c>
      <c r="Q562" s="13">
        <f>I562-J562</f>
        <v/>
      </c>
      <c r="R562" s="15">
        <f>IF(K562&gt;20, "BREACH", "OK")</f>
        <v/>
      </c>
    </row>
    <row r="563">
      <c r="A563" t="inlineStr">
        <is>
          <t>ORD01623</t>
        </is>
      </c>
      <c r="B563" t="inlineStr">
        <is>
          <t>CUST0032</t>
        </is>
      </c>
      <c r="C563" t="inlineStr">
        <is>
          <t>PROD051</t>
        </is>
      </c>
      <c r="D563" t="inlineStr">
        <is>
          <t>STORE027</t>
        </is>
      </c>
      <c r="E563" t="inlineStr">
        <is>
          <t>DP017</t>
        </is>
      </c>
      <c r="F563" t="inlineStr">
        <is>
          <t>2024-01-18 15:25:00</t>
        </is>
      </c>
      <c r="G563" t="inlineStr">
        <is>
          <t>2024-01-18 15:38:00</t>
        </is>
      </c>
      <c r="H563" s="14" t="n">
        <v>4</v>
      </c>
      <c r="I563" s="13" t="n">
        <v>1427.68</v>
      </c>
      <c r="J563" s="13" t="n">
        <v>81.7</v>
      </c>
      <c r="K563" s="16" t="n">
        <v>13</v>
      </c>
      <c r="L563" t="inlineStr">
        <is>
          <t>Cancelled</t>
        </is>
      </c>
      <c r="M563" t="inlineStr">
        <is>
          <t>PAY04</t>
        </is>
      </c>
      <c r="N563" t="inlineStr">
        <is>
          <t>Afternoon</t>
        </is>
      </c>
      <c r="O563">
        <f>INDEX(Products_Catalog!$B$2:$B$151, MATCH(C563, Products_Catalog!$A$2:$A$151, 0))</f>
        <v/>
      </c>
      <c r="P563" s="13">
        <f>INDEX(Products_Catalog!$D$2:$D$151, MATCH(C563, Products_Catalog!$A$2:$A$151, 0))</f>
        <v/>
      </c>
      <c r="Q563" s="13">
        <f>I563-J563</f>
        <v/>
      </c>
      <c r="R563" s="15">
        <f>IF(K563&gt;20, "BREACH", "OK")</f>
        <v/>
      </c>
    </row>
    <row r="564">
      <c r="A564" t="inlineStr">
        <is>
          <t>ORD01625</t>
        </is>
      </c>
      <c r="B564" t="inlineStr">
        <is>
          <t>CUST0034</t>
        </is>
      </c>
      <c r="C564" t="inlineStr">
        <is>
          <t>PROD134</t>
        </is>
      </c>
      <c r="D564" t="inlineStr">
        <is>
          <t>STORE003</t>
        </is>
      </c>
      <c r="E564" t="inlineStr">
        <is>
          <t>DP046</t>
        </is>
      </c>
      <c r="F564" t="inlineStr">
        <is>
          <t>2025-02-13 10:55:00</t>
        </is>
      </c>
      <c r="G564" t="inlineStr">
        <is>
          <t>2025-02-13 11:10:00</t>
        </is>
      </c>
      <c r="H564" s="14" t="n">
        <v>7</v>
      </c>
      <c r="I564" s="13" t="n">
        <v>2057.72</v>
      </c>
      <c r="J564" s="13" t="n">
        <v>450.4</v>
      </c>
      <c r="K564" s="16" t="n">
        <v>15</v>
      </c>
      <c r="L564" t="inlineStr">
        <is>
          <t>Cancelled</t>
        </is>
      </c>
      <c r="M564" t="inlineStr">
        <is>
          <t>PAY01</t>
        </is>
      </c>
      <c r="N564" t="inlineStr">
        <is>
          <t>Morning</t>
        </is>
      </c>
      <c r="O564">
        <f>INDEX(Products_Catalog!$B$2:$B$151, MATCH(C564, Products_Catalog!$A$2:$A$151, 0))</f>
        <v/>
      </c>
      <c r="P564" s="13">
        <f>INDEX(Products_Catalog!$D$2:$D$151, MATCH(C564, Products_Catalog!$A$2:$A$151, 0))</f>
        <v/>
      </c>
      <c r="Q564" s="13">
        <f>I564-J564</f>
        <v/>
      </c>
      <c r="R564" s="15">
        <f>IF(K564&gt;20, "BREACH", "OK")</f>
        <v/>
      </c>
    </row>
    <row r="565">
      <c r="A565" t="inlineStr">
        <is>
          <t>ORD01626</t>
        </is>
      </c>
      <c r="B565" t="inlineStr">
        <is>
          <t>CUST0031</t>
        </is>
      </c>
      <c r="C565" t="inlineStr">
        <is>
          <t>PROD116</t>
        </is>
      </c>
      <c r="D565" t="inlineStr">
        <is>
          <t>STORE036</t>
        </is>
      </c>
      <c r="E565" t="inlineStr">
        <is>
          <t>DP047</t>
        </is>
      </c>
      <c r="F565" t="inlineStr">
        <is>
          <t>2024-02-01 18:24:00</t>
        </is>
      </c>
      <c r="G565" t="inlineStr">
        <is>
          <t>2024-02-01 18:40:00</t>
        </is>
      </c>
      <c r="H565" s="14" t="n">
        <v>3</v>
      </c>
      <c r="I565" s="13" t="n">
        <v>169.8</v>
      </c>
      <c r="J565" s="13" t="n">
        <v>12.09</v>
      </c>
      <c r="K565" s="16" t="n">
        <v>16</v>
      </c>
      <c r="L565" t="inlineStr">
        <is>
          <t>Pending</t>
        </is>
      </c>
      <c r="M565" t="inlineStr">
        <is>
          <t>PAY02</t>
        </is>
      </c>
      <c r="N565" t="inlineStr">
        <is>
          <t>Evening</t>
        </is>
      </c>
      <c r="O565">
        <f>INDEX(Products_Catalog!$B$2:$B$151, MATCH(C565, Products_Catalog!$A$2:$A$151, 0))</f>
        <v/>
      </c>
      <c r="P565" s="13">
        <f>INDEX(Products_Catalog!$D$2:$D$151, MATCH(C565, Products_Catalog!$A$2:$A$151, 0))</f>
        <v/>
      </c>
      <c r="Q565" s="13">
        <f>I565-J565</f>
        <v/>
      </c>
      <c r="R565" s="15">
        <f>IF(K565&gt;20, "BREACH", "OK")</f>
        <v/>
      </c>
    </row>
    <row r="566">
      <c r="A566" t="inlineStr">
        <is>
          <t>ORD01627</t>
        </is>
      </c>
      <c r="B566" t="inlineStr">
        <is>
          <t>CUST0002</t>
        </is>
      </c>
      <c r="C566" t="inlineStr">
        <is>
          <t>PROD097</t>
        </is>
      </c>
      <c r="D566" t="inlineStr">
        <is>
          <t>STORE048</t>
        </is>
      </c>
      <c r="E566" t="inlineStr">
        <is>
          <t>DP027</t>
        </is>
      </c>
      <c r="F566" t="inlineStr">
        <is>
          <t>2024-11-21 13:28:00</t>
        </is>
      </c>
      <c r="G566" t="inlineStr">
        <is>
          <t>2024-11-21 13:45:00</t>
        </is>
      </c>
      <c r="H566" s="14" t="n">
        <v>1</v>
      </c>
      <c r="I566" s="13" t="n">
        <v>478.75</v>
      </c>
      <c r="J566" s="13" t="n">
        <v>33.58</v>
      </c>
      <c r="K566" s="16" t="n">
        <v>17</v>
      </c>
      <c r="L566" t="inlineStr">
        <is>
          <t>Pending</t>
        </is>
      </c>
      <c r="M566" t="inlineStr">
        <is>
          <t>PAY02</t>
        </is>
      </c>
      <c r="N566" t="inlineStr">
        <is>
          <t>Afternoon</t>
        </is>
      </c>
      <c r="O566">
        <f>INDEX(Products_Catalog!$B$2:$B$151, MATCH(C566, Products_Catalog!$A$2:$A$151, 0))</f>
        <v/>
      </c>
      <c r="P566" s="13">
        <f>INDEX(Products_Catalog!$D$2:$D$151, MATCH(C566, Products_Catalog!$A$2:$A$151, 0))</f>
        <v/>
      </c>
      <c r="Q566" s="13">
        <f>I566-J566</f>
        <v/>
      </c>
      <c r="R566" s="15">
        <f>IF(K566&gt;20, "BREACH", "OK")</f>
        <v/>
      </c>
    </row>
    <row r="567">
      <c r="A567" t="inlineStr">
        <is>
          <t>ORD01628</t>
        </is>
      </c>
      <c r="B567" t="inlineStr">
        <is>
          <t>CUST0043</t>
        </is>
      </c>
      <c r="C567" t="inlineStr">
        <is>
          <t>PROD043</t>
        </is>
      </c>
      <c r="D567" t="inlineStr">
        <is>
          <t>STORE049</t>
        </is>
      </c>
      <c r="E567" t="inlineStr">
        <is>
          <t>DP016</t>
        </is>
      </c>
      <c r="F567" t="inlineStr">
        <is>
          <t>2024-07-28 08:29:00</t>
        </is>
      </c>
      <c r="G567" t="inlineStr">
        <is>
          <t>2024-07-28 08:47:00</t>
        </is>
      </c>
      <c r="H567" s="14" t="n">
        <v>9</v>
      </c>
      <c r="I567" s="13" t="n">
        <v>514.89</v>
      </c>
      <c r="J567" s="13" t="n">
        <v>54.39</v>
      </c>
      <c r="K567" s="16" t="n">
        <v>18</v>
      </c>
      <c r="L567" t="inlineStr">
        <is>
          <t>Returned</t>
        </is>
      </c>
      <c r="M567" t="inlineStr">
        <is>
          <t>PAY05</t>
        </is>
      </c>
      <c r="N567" t="inlineStr">
        <is>
          <t>Morning</t>
        </is>
      </c>
      <c r="O567">
        <f>INDEX(Products_Catalog!$B$2:$B$151, MATCH(C567, Products_Catalog!$A$2:$A$151, 0))</f>
        <v/>
      </c>
      <c r="P567" s="13">
        <f>INDEX(Products_Catalog!$D$2:$D$151, MATCH(C567, Products_Catalog!$A$2:$A$151, 0))</f>
        <v/>
      </c>
      <c r="Q567" s="13">
        <f>I567-J567</f>
        <v/>
      </c>
      <c r="R567" s="15">
        <f>IF(K567&gt;20, "BREACH", "OK")</f>
        <v/>
      </c>
    </row>
    <row r="568">
      <c r="A568" t="inlineStr">
        <is>
          <t>ORD01629</t>
        </is>
      </c>
      <c r="B568" t="inlineStr">
        <is>
          <t>CUST0001</t>
        </is>
      </c>
      <c r="C568" t="inlineStr">
        <is>
          <t>PROD024</t>
        </is>
      </c>
      <c r="D568" t="inlineStr">
        <is>
          <t>STORE013</t>
        </is>
      </c>
      <c r="E568" t="inlineStr">
        <is>
          <t>DP009</t>
        </is>
      </c>
      <c r="F568" t="inlineStr">
        <is>
          <t>2025-05-23 13:32:00</t>
        </is>
      </c>
      <c r="G568" t="inlineStr">
        <is>
          <t>2025-05-23 13:51:00</t>
        </is>
      </c>
      <c r="H568" s="14" t="n">
        <v>9</v>
      </c>
      <c r="I568" s="13" t="n">
        <v>2910.51</v>
      </c>
      <c r="J568" s="13" t="n">
        <v>32.51</v>
      </c>
      <c r="K568" s="16" t="n">
        <v>19</v>
      </c>
      <c r="L568" t="inlineStr">
        <is>
          <t>Shipped</t>
        </is>
      </c>
      <c r="M568" t="inlineStr">
        <is>
          <t>PAY03</t>
        </is>
      </c>
      <c r="N568" t="inlineStr">
        <is>
          <t>Afternoon</t>
        </is>
      </c>
      <c r="O568">
        <f>INDEX(Products_Catalog!$B$2:$B$151, MATCH(C568, Products_Catalog!$A$2:$A$151, 0))</f>
        <v/>
      </c>
      <c r="P568" s="13">
        <f>INDEX(Products_Catalog!$D$2:$D$151, MATCH(C568, Products_Catalog!$A$2:$A$151, 0))</f>
        <v/>
      </c>
      <c r="Q568" s="13">
        <f>I568-J568</f>
        <v/>
      </c>
      <c r="R568" s="15">
        <f>IF(K568&gt;20, "BREACH", "OK")</f>
        <v/>
      </c>
    </row>
    <row r="569">
      <c r="A569" t="inlineStr">
        <is>
          <t>ORD01630</t>
        </is>
      </c>
      <c r="B569" t="inlineStr">
        <is>
          <t>CUST0005</t>
        </is>
      </c>
      <c r="C569" t="inlineStr">
        <is>
          <t>PROD057</t>
        </is>
      </c>
      <c r="D569" t="inlineStr">
        <is>
          <t>STORE043</t>
        </is>
      </c>
      <c r="E569" t="inlineStr">
        <is>
          <t>DP014</t>
        </is>
      </c>
      <c r="F569" t="inlineStr">
        <is>
          <t>2025-05-08 09:00:00</t>
        </is>
      </c>
      <c r="G569" t="inlineStr">
        <is>
          <t>2025-05-08 09:18:00</t>
        </is>
      </c>
      <c r="H569" s="14" t="n">
        <v>2</v>
      </c>
      <c r="I569" s="13" t="n">
        <v>414.08</v>
      </c>
      <c r="J569" s="13" t="n">
        <v>111.6</v>
      </c>
      <c r="K569" s="16" t="n">
        <v>18</v>
      </c>
      <c r="L569" t="inlineStr">
        <is>
          <t>Delivered</t>
        </is>
      </c>
      <c r="M569" t="inlineStr">
        <is>
          <t>PAY01</t>
        </is>
      </c>
      <c r="N569" t="inlineStr">
        <is>
          <t>Morning</t>
        </is>
      </c>
      <c r="O569">
        <f>INDEX(Products_Catalog!$B$2:$B$151, MATCH(C569, Products_Catalog!$A$2:$A$151, 0))</f>
        <v/>
      </c>
      <c r="P569" s="13">
        <f>INDEX(Products_Catalog!$D$2:$D$151, MATCH(C569, Products_Catalog!$A$2:$A$151, 0))</f>
        <v/>
      </c>
      <c r="Q569" s="13">
        <f>I569-J569</f>
        <v/>
      </c>
      <c r="R569" s="15">
        <f>IF(K569&gt;20, "BREACH", "OK")</f>
        <v/>
      </c>
    </row>
    <row r="570">
      <c r="A570" t="inlineStr">
        <is>
          <t>ORD01631</t>
        </is>
      </c>
      <c r="B570" t="inlineStr">
        <is>
          <t>CUST0033</t>
        </is>
      </c>
      <c r="C570" t="inlineStr">
        <is>
          <t>PROD084</t>
        </is>
      </c>
      <c r="D570" t="inlineStr">
        <is>
          <t>STORE049</t>
        </is>
      </c>
      <c r="E570" t="inlineStr">
        <is>
          <t>DP031</t>
        </is>
      </c>
      <c r="F570" t="inlineStr">
        <is>
          <t>2025-06-18 18:32:00</t>
        </is>
      </c>
      <c r="G570" t="inlineStr">
        <is>
          <t>2025-06-18 19:01:00</t>
        </is>
      </c>
      <c r="H570" s="14" t="n">
        <v>10</v>
      </c>
      <c r="I570" s="13" t="n">
        <v>3616</v>
      </c>
      <c r="J570" s="13" t="n">
        <v>920.3099999999999</v>
      </c>
      <c r="K570" s="16" t="n">
        <v>29</v>
      </c>
      <c r="L570" t="inlineStr">
        <is>
          <t>Cancelled</t>
        </is>
      </c>
      <c r="M570" t="inlineStr">
        <is>
          <t>PAY04</t>
        </is>
      </c>
      <c r="N570" t="inlineStr">
        <is>
          <t>Evening</t>
        </is>
      </c>
      <c r="O570">
        <f>INDEX(Products_Catalog!$B$2:$B$151, MATCH(C570, Products_Catalog!$A$2:$A$151, 0))</f>
        <v/>
      </c>
      <c r="P570" s="13">
        <f>INDEX(Products_Catalog!$D$2:$D$151, MATCH(C570, Products_Catalog!$A$2:$A$151, 0))</f>
        <v/>
      </c>
      <c r="Q570" s="13">
        <f>I570-J570</f>
        <v/>
      </c>
      <c r="R570" s="15">
        <f>IF(K570&gt;20, "BREACH", "OK")</f>
        <v/>
      </c>
    </row>
    <row r="571">
      <c r="A571" t="inlineStr">
        <is>
          <t>ORD01632</t>
        </is>
      </c>
      <c r="B571" t="inlineStr">
        <is>
          <t>CUST0032</t>
        </is>
      </c>
      <c r="C571" t="inlineStr">
        <is>
          <t>PROD061</t>
        </is>
      </c>
      <c r="D571" t="inlineStr">
        <is>
          <t>STORE030</t>
        </is>
      </c>
      <c r="E571" t="inlineStr">
        <is>
          <t>DP038</t>
        </is>
      </c>
      <c r="F571" t="inlineStr">
        <is>
          <t>2025-05-30 18:31:00</t>
        </is>
      </c>
      <c r="G571" t="inlineStr">
        <is>
          <t>2025-05-30 19:01:00</t>
        </is>
      </c>
      <c r="H571" s="14" t="n">
        <v>7</v>
      </c>
      <c r="I571" s="13" t="n">
        <v>2954.84</v>
      </c>
      <c r="J571" s="13" t="n">
        <v>558.54</v>
      </c>
      <c r="K571" s="16" t="n">
        <v>30</v>
      </c>
      <c r="L571" t="inlineStr">
        <is>
          <t>Cancelled</t>
        </is>
      </c>
      <c r="M571" t="inlineStr">
        <is>
          <t>PAY01</t>
        </is>
      </c>
      <c r="N571" t="inlineStr">
        <is>
          <t>Evening</t>
        </is>
      </c>
      <c r="O571">
        <f>INDEX(Products_Catalog!$B$2:$B$151, MATCH(C571, Products_Catalog!$A$2:$A$151, 0))</f>
        <v/>
      </c>
      <c r="P571" s="13">
        <f>INDEX(Products_Catalog!$D$2:$D$151, MATCH(C571, Products_Catalog!$A$2:$A$151, 0))</f>
        <v/>
      </c>
      <c r="Q571" s="13">
        <f>I571-J571</f>
        <v/>
      </c>
      <c r="R571" s="15">
        <f>IF(K571&gt;20, "BREACH", "OK")</f>
        <v/>
      </c>
    </row>
    <row r="572">
      <c r="A572" t="inlineStr">
        <is>
          <t>ORD01635</t>
        </is>
      </c>
      <c r="B572" t="inlineStr">
        <is>
          <t>CUST0007</t>
        </is>
      </c>
      <c r="C572" t="inlineStr">
        <is>
          <t>PROD051</t>
        </is>
      </c>
      <c r="D572" t="inlineStr">
        <is>
          <t>STORE048</t>
        </is>
      </c>
      <c r="E572" t="inlineStr">
        <is>
          <t>DP033</t>
        </is>
      </c>
      <c r="F572" t="inlineStr">
        <is>
          <t>2024-11-17 08:31:00</t>
        </is>
      </c>
      <c r="G572" t="inlineStr">
        <is>
          <t>2024-11-17 09:03:00</t>
        </is>
      </c>
      <c r="H572" s="14" t="n">
        <v>2</v>
      </c>
      <c r="I572" s="13" t="n">
        <v>338.46</v>
      </c>
      <c r="J572" s="13" t="n">
        <v>72.13</v>
      </c>
      <c r="K572" s="16" t="n">
        <v>32</v>
      </c>
      <c r="L572" t="inlineStr">
        <is>
          <t>Cancelled</t>
        </is>
      </c>
      <c r="M572" t="inlineStr">
        <is>
          <t>PAY01</t>
        </is>
      </c>
      <c r="N572" t="inlineStr">
        <is>
          <t>Morning</t>
        </is>
      </c>
      <c r="O572">
        <f>INDEX(Products_Catalog!$B$2:$B$151, MATCH(C572, Products_Catalog!$A$2:$A$151, 0))</f>
        <v/>
      </c>
      <c r="P572" s="13">
        <f>INDEX(Products_Catalog!$D$2:$D$151, MATCH(C572, Products_Catalog!$A$2:$A$151, 0))</f>
        <v/>
      </c>
      <c r="Q572" s="13">
        <f>I572-J572</f>
        <v/>
      </c>
      <c r="R572" s="15">
        <f>IF(K572&gt;20, "BREACH", "OK")</f>
        <v/>
      </c>
    </row>
    <row r="573">
      <c r="A573" t="inlineStr">
        <is>
          <t>ORD01638</t>
        </is>
      </c>
      <c r="B573" t="inlineStr">
        <is>
          <t>CUST0029</t>
        </is>
      </c>
      <c r="C573" t="inlineStr">
        <is>
          <t>PROD111</t>
        </is>
      </c>
      <c r="D573" t="inlineStr">
        <is>
          <t>STORE014</t>
        </is>
      </c>
      <c r="E573" t="inlineStr">
        <is>
          <t>DP032</t>
        </is>
      </c>
      <c r="F573" t="inlineStr">
        <is>
          <t>2024-06-13 12:41:00</t>
        </is>
      </c>
      <c r="G573" t="inlineStr">
        <is>
          <t>2024-06-13 12:54:00</t>
        </is>
      </c>
      <c r="H573" s="14" t="n">
        <v>9</v>
      </c>
      <c r="I573" s="13" t="n">
        <v>4298.85</v>
      </c>
      <c r="J573" s="13" t="n">
        <v>593.22</v>
      </c>
      <c r="K573" s="16" t="n">
        <v>13</v>
      </c>
      <c r="L573" t="inlineStr">
        <is>
          <t>Shipped</t>
        </is>
      </c>
      <c r="M573" t="inlineStr">
        <is>
          <t>PAY02</t>
        </is>
      </c>
      <c r="N573" t="inlineStr">
        <is>
          <t>Afternoon</t>
        </is>
      </c>
      <c r="O573">
        <f>INDEX(Products_Catalog!$B$2:$B$151, MATCH(C573, Products_Catalog!$A$2:$A$151, 0))</f>
        <v/>
      </c>
      <c r="P573" s="13">
        <f>INDEX(Products_Catalog!$D$2:$D$151, MATCH(C573, Products_Catalog!$A$2:$A$151, 0))</f>
        <v/>
      </c>
      <c r="Q573" s="13">
        <f>I573-J573</f>
        <v/>
      </c>
      <c r="R573" s="15">
        <f>IF(K573&gt;20, "BREACH", "OK")</f>
        <v/>
      </c>
    </row>
    <row r="574">
      <c r="A574" t="inlineStr">
        <is>
          <t>ORD01640</t>
        </is>
      </c>
      <c r="B574" t="inlineStr">
        <is>
          <t>CUST0022</t>
        </is>
      </c>
      <c r="C574" t="inlineStr">
        <is>
          <t>PROD042</t>
        </is>
      </c>
      <c r="D574" t="inlineStr">
        <is>
          <t>STORE038</t>
        </is>
      </c>
      <c r="E574" t="inlineStr">
        <is>
          <t>DP048</t>
        </is>
      </c>
      <c r="F574" t="inlineStr">
        <is>
          <t>2024-04-02 13:50:00</t>
        </is>
      </c>
      <c r="G574" t="inlineStr">
        <is>
          <t>2024-04-02 14:16:00</t>
        </is>
      </c>
      <c r="H574" s="14" t="n">
        <v>4</v>
      </c>
      <c r="I574" s="13" t="n">
        <v>1431.08</v>
      </c>
      <c r="J574" s="13" t="n">
        <v>11.85</v>
      </c>
      <c r="K574" s="16" t="n">
        <v>26</v>
      </c>
      <c r="L574" t="inlineStr">
        <is>
          <t>Pending</t>
        </is>
      </c>
      <c r="M574" t="inlineStr">
        <is>
          <t>PAY05</t>
        </is>
      </c>
      <c r="N574" t="inlineStr">
        <is>
          <t>Afternoon</t>
        </is>
      </c>
      <c r="O574">
        <f>INDEX(Products_Catalog!$B$2:$B$151, MATCH(C574, Products_Catalog!$A$2:$A$151, 0))</f>
        <v/>
      </c>
      <c r="P574" s="13">
        <f>INDEX(Products_Catalog!$D$2:$D$151, MATCH(C574, Products_Catalog!$A$2:$A$151, 0))</f>
        <v/>
      </c>
      <c r="Q574" s="13">
        <f>I574-J574</f>
        <v/>
      </c>
      <c r="R574" s="15">
        <f>IF(K574&gt;20, "BREACH", "OK")</f>
        <v/>
      </c>
    </row>
    <row r="575">
      <c r="A575" t="inlineStr">
        <is>
          <t>ORD01641</t>
        </is>
      </c>
      <c r="B575" t="inlineStr">
        <is>
          <t>CUST0013</t>
        </is>
      </c>
      <c r="C575" t="inlineStr">
        <is>
          <t>PROD013</t>
        </is>
      </c>
      <c r="D575" t="inlineStr">
        <is>
          <t>STORE008</t>
        </is>
      </c>
      <c r="E575" t="inlineStr">
        <is>
          <t>DP043</t>
        </is>
      </c>
      <c r="F575" t="inlineStr">
        <is>
          <t>2025-01-29 18:17:00</t>
        </is>
      </c>
      <c r="G575" t="inlineStr">
        <is>
          <t>2025-01-29 18:44:00</t>
        </is>
      </c>
      <c r="H575" s="14" t="n">
        <v>4</v>
      </c>
      <c r="I575" s="13" t="n">
        <v>270.84</v>
      </c>
      <c r="J575" s="13" t="n">
        <v>29.39</v>
      </c>
      <c r="K575" s="16" t="n">
        <v>27</v>
      </c>
      <c r="L575" t="inlineStr">
        <is>
          <t>Cancelled</t>
        </is>
      </c>
      <c r="M575" t="inlineStr">
        <is>
          <t>PAY03</t>
        </is>
      </c>
      <c r="N575" t="inlineStr">
        <is>
          <t>Evening</t>
        </is>
      </c>
      <c r="O575">
        <f>INDEX(Products_Catalog!$B$2:$B$151, MATCH(C575, Products_Catalog!$A$2:$A$151, 0))</f>
        <v/>
      </c>
      <c r="P575" s="13">
        <f>INDEX(Products_Catalog!$D$2:$D$151, MATCH(C575, Products_Catalog!$A$2:$A$151, 0))</f>
        <v/>
      </c>
      <c r="Q575" s="13">
        <f>I575-J575</f>
        <v/>
      </c>
      <c r="R575" s="15">
        <f>IF(K575&gt;20, "BREACH", "OK")</f>
        <v/>
      </c>
    </row>
    <row r="576">
      <c r="A576" t="inlineStr">
        <is>
          <t>ORD01642</t>
        </is>
      </c>
      <c r="B576" t="inlineStr">
        <is>
          <t>CUST0026</t>
        </is>
      </c>
      <c r="C576" t="inlineStr">
        <is>
          <t>PROD138</t>
        </is>
      </c>
      <c r="D576" t="inlineStr">
        <is>
          <t>STORE013</t>
        </is>
      </c>
      <c r="E576" t="inlineStr">
        <is>
          <t>DP024</t>
        </is>
      </c>
      <c r="F576" t="inlineStr">
        <is>
          <t>2024-05-20 13:44:00</t>
        </is>
      </c>
      <c r="G576" t="inlineStr">
        <is>
          <t>2024-05-20 14:12:00</t>
        </is>
      </c>
      <c r="H576" s="14" t="n">
        <v>8</v>
      </c>
      <c r="I576" s="13" t="n">
        <v>814.08</v>
      </c>
      <c r="J576" s="13" t="n">
        <v>27.51</v>
      </c>
      <c r="K576" s="16" t="n">
        <v>28</v>
      </c>
      <c r="L576" t="inlineStr">
        <is>
          <t>Cancelled</t>
        </is>
      </c>
      <c r="M576" t="inlineStr">
        <is>
          <t>PAY02</t>
        </is>
      </c>
      <c r="N576" t="inlineStr">
        <is>
          <t>Afternoon</t>
        </is>
      </c>
      <c r="O576">
        <f>INDEX(Products_Catalog!$B$2:$B$151, MATCH(C576, Products_Catalog!$A$2:$A$151, 0))</f>
        <v/>
      </c>
      <c r="P576" s="13">
        <f>INDEX(Products_Catalog!$D$2:$D$151, MATCH(C576, Products_Catalog!$A$2:$A$151, 0))</f>
        <v/>
      </c>
      <c r="Q576" s="13">
        <f>I576-J576</f>
        <v/>
      </c>
      <c r="R576" s="15">
        <f>IF(K576&gt;20, "BREACH", "OK")</f>
        <v/>
      </c>
    </row>
    <row r="577">
      <c r="A577" t="inlineStr">
        <is>
          <t>ORD01645</t>
        </is>
      </c>
      <c r="B577" t="inlineStr">
        <is>
          <t>CUST0003</t>
        </is>
      </c>
      <c r="C577" t="inlineStr">
        <is>
          <t>PROD036</t>
        </is>
      </c>
      <c r="D577" t="inlineStr">
        <is>
          <t>STORE038</t>
        </is>
      </c>
      <c r="E577" t="inlineStr">
        <is>
          <t>DP028</t>
        </is>
      </c>
      <c r="F577" t="inlineStr">
        <is>
          <t>2025-01-09 16:26:00</t>
        </is>
      </c>
      <c r="G577" t="inlineStr">
        <is>
          <t>2025-01-09 16:40:00</t>
        </is>
      </c>
      <c r="H577" s="14" t="n">
        <v>2</v>
      </c>
      <c r="I577" s="13" t="n">
        <v>167.22</v>
      </c>
      <c r="J577" s="13" t="n">
        <v>17.42</v>
      </c>
      <c r="K577" s="16" t="n">
        <v>14</v>
      </c>
      <c r="L577" t="inlineStr">
        <is>
          <t>Returned</t>
        </is>
      </c>
      <c r="M577" t="inlineStr">
        <is>
          <t>PAY02</t>
        </is>
      </c>
      <c r="N577" t="inlineStr">
        <is>
          <t>Afternoon</t>
        </is>
      </c>
      <c r="O577">
        <f>INDEX(Products_Catalog!$B$2:$B$151, MATCH(C577, Products_Catalog!$A$2:$A$151, 0))</f>
        <v/>
      </c>
      <c r="P577" s="13">
        <f>INDEX(Products_Catalog!$D$2:$D$151, MATCH(C577, Products_Catalog!$A$2:$A$151, 0))</f>
        <v/>
      </c>
      <c r="Q577" s="13">
        <f>I577-J577</f>
        <v/>
      </c>
      <c r="R577" s="15">
        <f>IF(K577&gt;20, "BREACH", "OK")</f>
        <v/>
      </c>
    </row>
    <row r="578">
      <c r="A578" t="inlineStr">
        <is>
          <t>ORD01646</t>
        </is>
      </c>
      <c r="B578" t="inlineStr">
        <is>
          <t>CUST0008</t>
        </is>
      </c>
      <c r="C578" t="inlineStr">
        <is>
          <t>PROD110</t>
        </is>
      </c>
      <c r="D578" t="inlineStr">
        <is>
          <t>STORE010</t>
        </is>
      </c>
      <c r="E578" t="inlineStr">
        <is>
          <t>DP047</t>
        </is>
      </c>
      <c r="F578" t="inlineStr">
        <is>
          <t>2025-06-13 10:21:00</t>
        </is>
      </c>
      <c r="G578" t="inlineStr">
        <is>
          <t>2025-06-13 10:36:00</t>
        </is>
      </c>
      <c r="H578" s="14" t="n">
        <v>9</v>
      </c>
      <c r="I578" s="13" t="n">
        <v>859.95</v>
      </c>
      <c r="J578" s="13" t="n">
        <v>215.63</v>
      </c>
      <c r="K578" s="16" t="n">
        <v>15</v>
      </c>
      <c r="L578" t="inlineStr">
        <is>
          <t>Shipped</t>
        </is>
      </c>
      <c r="M578" t="inlineStr">
        <is>
          <t>PAY02</t>
        </is>
      </c>
      <c r="N578" t="inlineStr">
        <is>
          <t>Morning</t>
        </is>
      </c>
      <c r="O578">
        <f>INDEX(Products_Catalog!$B$2:$B$151, MATCH(C578, Products_Catalog!$A$2:$A$151, 0))</f>
        <v/>
      </c>
      <c r="P578" s="13">
        <f>INDEX(Products_Catalog!$D$2:$D$151, MATCH(C578, Products_Catalog!$A$2:$A$151, 0))</f>
        <v/>
      </c>
      <c r="Q578" s="13">
        <f>I578-J578</f>
        <v/>
      </c>
      <c r="R578" s="15">
        <f>IF(K578&gt;20, "BREACH", "OK")</f>
        <v/>
      </c>
    </row>
    <row r="579">
      <c r="A579" t="inlineStr">
        <is>
          <t>ORD01647</t>
        </is>
      </c>
      <c r="B579" t="inlineStr">
        <is>
          <t>CUST0012</t>
        </is>
      </c>
      <c r="C579" t="inlineStr">
        <is>
          <t>PROD133</t>
        </is>
      </c>
      <c r="D579" t="inlineStr">
        <is>
          <t>STORE031</t>
        </is>
      </c>
      <c r="E579" t="inlineStr">
        <is>
          <t>DP006</t>
        </is>
      </c>
      <c r="F579" t="inlineStr">
        <is>
          <t>2025-04-10 08:53:00</t>
        </is>
      </c>
      <c r="G579" t="inlineStr">
        <is>
          <t>2025-04-10 09:09:00</t>
        </is>
      </c>
      <c r="H579" s="14" t="n">
        <v>2</v>
      </c>
      <c r="I579" s="13" t="n">
        <v>581.62</v>
      </c>
      <c r="J579" s="13" t="n">
        <v>92.2</v>
      </c>
      <c r="K579" s="16" t="n">
        <v>16</v>
      </c>
      <c r="L579" t="inlineStr">
        <is>
          <t>Delivered</t>
        </is>
      </c>
      <c r="M579" t="inlineStr">
        <is>
          <t>PAY05</t>
        </is>
      </c>
      <c r="N579" t="inlineStr">
        <is>
          <t>Morning</t>
        </is>
      </c>
      <c r="O579">
        <f>INDEX(Products_Catalog!$B$2:$B$151, MATCH(C579, Products_Catalog!$A$2:$A$151, 0))</f>
        <v/>
      </c>
      <c r="P579" s="13">
        <f>INDEX(Products_Catalog!$D$2:$D$151, MATCH(C579, Products_Catalog!$A$2:$A$151, 0))</f>
        <v/>
      </c>
      <c r="Q579" s="13">
        <f>I579-J579</f>
        <v/>
      </c>
      <c r="R579" s="15">
        <f>IF(K579&gt;20, "BREACH", "OK")</f>
        <v/>
      </c>
    </row>
    <row r="580">
      <c r="A580" t="inlineStr">
        <is>
          <t>ORD01648</t>
        </is>
      </c>
      <c r="B580" t="inlineStr">
        <is>
          <t>CUST0002</t>
        </is>
      </c>
      <c r="C580" t="inlineStr">
        <is>
          <t>PROD010</t>
        </is>
      </c>
      <c r="D580" t="inlineStr">
        <is>
          <t>STORE025</t>
        </is>
      </c>
      <c r="E580" t="inlineStr">
        <is>
          <t>DP046</t>
        </is>
      </c>
      <c r="F580" t="inlineStr">
        <is>
          <t>2024-09-24 13:41:00</t>
        </is>
      </c>
      <c r="G580" t="inlineStr">
        <is>
          <t>2024-09-24 13:58:00</t>
        </is>
      </c>
      <c r="H580" s="14" t="n">
        <v>9</v>
      </c>
      <c r="I580" s="13" t="n">
        <v>656.64</v>
      </c>
      <c r="J580" s="13" t="n">
        <v>74.58</v>
      </c>
      <c r="K580" s="16" t="n">
        <v>17</v>
      </c>
      <c r="L580" t="inlineStr">
        <is>
          <t>Cancelled</t>
        </is>
      </c>
      <c r="M580" t="inlineStr">
        <is>
          <t>PAY03</t>
        </is>
      </c>
      <c r="N580" t="inlineStr">
        <is>
          <t>Afternoon</t>
        </is>
      </c>
      <c r="O580">
        <f>INDEX(Products_Catalog!$B$2:$B$151, MATCH(C580, Products_Catalog!$A$2:$A$151, 0))</f>
        <v/>
      </c>
      <c r="P580" s="13">
        <f>INDEX(Products_Catalog!$D$2:$D$151, MATCH(C580, Products_Catalog!$A$2:$A$151, 0))</f>
        <v/>
      </c>
      <c r="Q580" s="13">
        <f>I580-J580</f>
        <v/>
      </c>
      <c r="R580" s="15">
        <f>IF(K580&gt;20, "BREACH", "OK")</f>
        <v/>
      </c>
    </row>
    <row r="581">
      <c r="A581" t="inlineStr">
        <is>
          <t>ORD01650</t>
        </is>
      </c>
      <c r="B581" t="inlineStr">
        <is>
          <t>CUST0020</t>
        </is>
      </c>
      <c r="C581" t="inlineStr">
        <is>
          <t>PROD080</t>
        </is>
      </c>
      <c r="D581" t="inlineStr">
        <is>
          <t>STORE021</t>
        </is>
      </c>
      <c r="E581" t="inlineStr">
        <is>
          <t>DP001</t>
        </is>
      </c>
      <c r="F581" t="inlineStr">
        <is>
          <t>2024-08-02 19:29:00</t>
        </is>
      </c>
      <c r="G581" t="inlineStr">
        <is>
          <t>2024-08-02 19:48:00</t>
        </is>
      </c>
      <c r="H581" s="14" t="n">
        <v>8</v>
      </c>
      <c r="I581" s="13" t="n">
        <v>962.5599999999999</v>
      </c>
      <c r="J581" s="13" t="n">
        <v>278.3</v>
      </c>
      <c r="K581" s="16" t="n">
        <v>19</v>
      </c>
      <c r="L581" t="inlineStr">
        <is>
          <t>Shipped</t>
        </is>
      </c>
      <c r="M581" t="inlineStr">
        <is>
          <t>PAY04</t>
        </is>
      </c>
      <c r="N581" t="inlineStr">
        <is>
          <t>Evening</t>
        </is>
      </c>
      <c r="O581">
        <f>INDEX(Products_Catalog!$B$2:$B$151, MATCH(C581, Products_Catalog!$A$2:$A$151, 0))</f>
        <v/>
      </c>
      <c r="P581" s="13">
        <f>INDEX(Products_Catalog!$D$2:$D$151, MATCH(C581, Products_Catalog!$A$2:$A$151, 0))</f>
        <v/>
      </c>
      <c r="Q581" s="13">
        <f>I581-J581</f>
        <v/>
      </c>
      <c r="R581" s="15">
        <f>IF(K581&gt;20, "BREACH", "OK")</f>
        <v/>
      </c>
    </row>
    <row r="582">
      <c r="A582" t="inlineStr">
        <is>
          <t>ORD01651</t>
        </is>
      </c>
      <c r="B582" t="inlineStr">
        <is>
          <t>CUST0019</t>
        </is>
      </c>
      <c r="C582" t="inlineStr">
        <is>
          <t>PROD016</t>
        </is>
      </c>
      <c r="D582" t="inlineStr">
        <is>
          <t>STORE002</t>
        </is>
      </c>
      <c r="E582" t="inlineStr">
        <is>
          <t>DP036</t>
        </is>
      </c>
      <c r="F582" t="inlineStr">
        <is>
          <t>2024-12-29 18:49:00</t>
        </is>
      </c>
      <c r="G582" t="inlineStr">
        <is>
          <t>2024-12-29 19:09:00</t>
        </is>
      </c>
      <c r="H582" s="14" t="n">
        <v>7</v>
      </c>
      <c r="I582" s="13" t="n">
        <v>1706.95</v>
      </c>
      <c r="J582" s="13" t="n">
        <v>185.07</v>
      </c>
      <c r="K582" s="16" t="n">
        <v>20</v>
      </c>
      <c r="L582" t="inlineStr">
        <is>
          <t>Delivered</t>
        </is>
      </c>
      <c r="M582" t="inlineStr">
        <is>
          <t>PAY04</t>
        </is>
      </c>
      <c r="N582" t="inlineStr">
        <is>
          <t>Evening</t>
        </is>
      </c>
      <c r="O582">
        <f>INDEX(Products_Catalog!$B$2:$B$151, MATCH(C582, Products_Catalog!$A$2:$A$151, 0))</f>
        <v/>
      </c>
      <c r="P582" s="13">
        <f>INDEX(Products_Catalog!$D$2:$D$151, MATCH(C582, Products_Catalog!$A$2:$A$151, 0))</f>
        <v/>
      </c>
      <c r="Q582" s="13">
        <f>I582-J582</f>
        <v/>
      </c>
      <c r="R582" s="15">
        <f>IF(K582&gt;20, "BREACH", "OK")</f>
        <v/>
      </c>
    </row>
    <row r="583">
      <c r="A583" t="inlineStr">
        <is>
          <t>ORD01652</t>
        </is>
      </c>
      <c r="B583" t="inlineStr">
        <is>
          <t>CUST0010</t>
        </is>
      </c>
      <c r="C583" t="inlineStr">
        <is>
          <t>PROD057</t>
        </is>
      </c>
      <c r="D583" t="inlineStr">
        <is>
          <t>STORE030</t>
        </is>
      </c>
      <c r="E583" t="inlineStr">
        <is>
          <t>DP041</t>
        </is>
      </c>
      <c r="F583" t="inlineStr">
        <is>
          <t>2024-08-02 19:38:00</t>
        </is>
      </c>
      <c r="G583" t="inlineStr">
        <is>
          <t>2024-08-02 19:59:00</t>
        </is>
      </c>
      <c r="H583" s="14" t="n">
        <v>9</v>
      </c>
      <c r="I583" s="13" t="n">
        <v>3700.98</v>
      </c>
      <c r="J583" s="13" t="n">
        <v>234.54</v>
      </c>
      <c r="K583" s="16" t="n">
        <v>21</v>
      </c>
      <c r="L583" t="inlineStr">
        <is>
          <t>Pending</t>
        </is>
      </c>
      <c r="M583" t="inlineStr">
        <is>
          <t>PAY04</t>
        </is>
      </c>
      <c r="N583" t="inlineStr">
        <is>
          <t>Evening</t>
        </is>
      </c>
      <c r="O583">
        <f>INDEX(Products_Catalog!$B$2:$B$151, MATCH(C583, Products_Catalog!$A$2:$A$151, 0))</f>
        <v/>
      </c>
      <c r="P583" s="13">
        <f>INDEX(Products_Catalog!$D$2:$D$151, MATCH(C583, Products_Catalog!$A$2:$A$151, 0))</f>
        <v/>
      </c>
      <c r="Q583" s="13">
        <f>I583-J583</f>
        <v/>
      </c>
      <c r="R583" s="15">
        <f>IF(K583&gt;20, "BREACH", "OK")</f>
        <v/>
      </c>
    </row>
    <row r="584">
      <c r="A584" t="inlineStr">
        <is>
          <t>ORD01653</t>
        </is>
      </c>
      <c r="B584" t="inlineStr">
        <is>
          <t>CUST0015</t>
        </is>
      </c>
      <c r="C584" t="inlineStr">
        <is>
          <t>PROD100</t>
        </is>
      </c>
      <c r="D584" t="inlineStr">
        <is>
          <t>STORE042</t>
        </is>
      </c>
      <c r="E584" t="inlineStr">
        <is>
          <t>DP002</t>
        </is>
      </c>
      <c r="F584" t="inlineStr">
        <is>
          <t>2024-07-25 11:03:00</t>
        </is>
      </c>
      <c r="G584" t="inlineStr">
        <is>
          <t>2024-07-25 11:25:00</t>
        </is>
      </c>
      <c r="H584" s="14" t="n">
        <v>4</v>
      </c>
      <c r="I584" s="13" t="n">
        <v>1760.48</v>
      </c>
      <c r="J584" s="13" t="n">
        <v>235.09</v>
      </c>
      <c r="K584" s="16" t="n">
        <v>22</v>
      </c>
      <c r="L584" t="inlineStr">
        <is>
          <t>Delivered</t>
        </is>
      </c>
      <c r="M584" t="inlineStr">
        <is>
          <t>PAY03</t>
        </is>
      </c>
      <c r="N584" t="inlineStr">
        <is>
          <t>Morning</t>
        </is>
      </c>
      <c r="O584">
        <f>INDEX(Products_Catalog!$B$2:$B$151, MATCH(C584, Products_Catalog!$A$2:$A$151, 0))</f>
        <v/>
      </c>
      <c r="P584" s="13">
        <f>INDEX(Products_Catalog!$D$2:$D$151, MATCH(C584, Products_Catalog!$A$2:$A$151, 0))</f>
        <v/>
      </c>
      <c r="Q584" s="13">
        <f>I584-J584</f>
        <v/>
      </c>
      <c r="R584" s="15">
        <f>IF(K584&gt;20, "BREACH", "OK")</f>
        <v/>
      </c>
    </row>
    <row r="585">
      <c r="A585" t="inlineStr">
        <is>
          <t>ORD01654</t>
        </is>
      </c>
      <c r="B585" t="inlineStr">
        <is>
          <t>CUST0017</t>
        </is>
      </c>
      <c r="C585" t="inlineStr">
        <is>
          <t>PROD102</t>
        </is>
      </c>
      <c r="D585" t="inlineStr">
        <is>
          <t>STORE035</t>
        </is>
      </c>
      <c r="E585" t="inlineStr">
        <is>
          <t>DP035</t>
        </is>
      </c>
      <c r="F585" t="inlineStr">
        <is>
          <t>2024-08-09 17:00:00</t>
        </is>
      </c>
      <c r="G585" t="inlineStr">
        <is>
          <t>2024-08-09 17:23:00</t>
        </is>
      </c>
      <c r="H585" s="14" t="n">
        <v>3</v>
      </c>
      <c r="I585" s="13" t="n">
        <v>1034.94</v>
      </c>
      <c r="J585" s="13" t="n">
        <v>147.81</v>
      </c>
      <c r="K585" s="16" t="n">
        <v>23</v>
      </c>
      <c r="L585" t="inlineStr">
        <is>
          <t>Pending</t>
        </is>
      </c>
      <c r="M585" t="inlineStr">
        <is>
          <t>PAY03</t>
        </is>
      </c>
      <c r="N585" t="inlineStr">
        <is>
          <t>Afternoon</t>
        </is>
      </c>
      <c r="O585">
        <f>INDEX(Products_Catalog!$B$2:$B$151, MATCH(C585, Products_Catalog!$A$2:$A$151, 0))</f>
        <v/>
      </c>
      <c r="P585" s="13">
        <f>INDEX(Products_Catalog!$D$2:$D$151, MATCH(C585, Products_Catalog!$A$2:$A$151, 0))</f>
        <v/>
      </c>
      <c r="Q585" s="13">
        <f>I585-J585</f>
        <v/>
      </c>
      <c r="R585" s="15">
        <f>IF(K585&gt;20, "BREACH", "OK")</f>
        <v/>
      </c>
    </row>
    <row r="586">
      <c r="A586" t="inlineStr">
        <is>
          <t>ORD01655</t>
        </is>
      </c>
      <c r="B586" t="inlineStr">
        <is>
          <t>CUST0007</t>
        </is>
      </c>
      <c r="C586" t="inlineStr">
        <is>
          <t>PROD039</t>
        </is>
      </c>
      <c r="D586" t="inlineStr">
        <is>
          <t>STORE047</t>
        </is>
      </c>
      <c r="E586" t="inlineStr">
        <is>
          <t>DP033</t>
        </is>
      </c>
      <c r="F586" t="inlineStr">
        <is>
          <t>2024-08-18 12:53:00</t>
        </is>
      </c>
      <c r="G586" t="inlineStr">
        <is>
          <t>2024-08-18 13:17:00</t>
        </is>
      </c>
      <c r="H586" s="14" t="n">
        <v>9</v>
      </c>
      <c r="I586" s="13" t="n">
        <v>2349.9</v>
      </c>
      <c r="J586" s="13" t="n">
        <v>173.28</v>
      </c>
      <c r="K586" s="16" t="n">
        <v>24</v>
      </c>
      <c r="L586" t="inlineStr">
        <is>
          <t>Cancelled</t>
        </is>
      </c>
      <c r="M586" t="inlineStr">
        <is>
          <t>PAY05</t>
        </is>
      </c>
      <c r="N586" t="inlineStr">
        <is>
          <t>Afternoon</t>
        </is>
      </c>
      <c r="O586">
        <f>INDEX(Products_Catalog!$B$2:$B$151, MATCH(C586, Products_Catalog!$A$2:$A$151, 0))</f>
        <v/>
      </c>
      <c r="P586" s="13">
        <f>INDEX(Products_Catalog!$D$2:$D$151, MATCH(C586, Products_Catalog!$A$2:$A$151, 0))</f>
        <v/>
      </c>
      <c r="Q586" s="13">
        <f>I586-J586</f>
        <v/>
      </c>
      <c r="R586" s="15">
        <f>IF(K586&gt;20, "BREACH", "OK")</f>
        <v/>
      </c>
    </row>
    <row r="587">
      <c r="A587" t="inlineStr">
        <is>
          <t>ORD01656</t>
        </is>
      </c>
      <c r="B587" t="inlineStr">
        <is>
          <t>CUST0010</t>
        </is>
      </c>
      <c r="C587" t="inlineStr">
        <is>
          <t>PROD047</t>
        </is>
      </c>
      <c r="D587" t="inlineStr">
        <is>
          <t>STORE004</t>
        </is>
      </c>
      <c r="E587" t="inlineStr">
        <is>
          <t>DP001</t>
        </is>
      </c>
      <c r="F587" t="inlineStr">
        <is>
          <t>2024-01-12 10:45:00</t>
        </is>
      </c>
      <c r="G587" t="inlineStr">
        <is>
          <t>2024-01-12 11:10:00</t>
        </is>
      </c>
      <c r="H587" s="14" t="n">
        <v>9</v>
      </c>
      <c r="I587" s="13" t="n">
        <v>1152.36</v>
      </c>
      <c r="J587" s="13" t="n">
        <v>312.64</v>
      </c>
      <c r="K587" s="16" t="n">
        <v>25</v>
      </c>
      <c r="L587" t="inlineStr">
        <is>
          <t>Returned</t>
        </is>
      </c>
      <c r="M587" t="inlineStr">
        <is>
          <t>PAY03</t>
        </is>
      </c>
      <c r="N587" t="inlineStr">
        <is>
          <t>Morning</t>
        </is>
      </c>
      <c r="O587">
        <f>INDEX(Products_Catalog!$B$2:$B$151, MATCH(C587, Products_Catalog!$A$2:$A$151, 0))</f>
        <v/>
      </c>
      <c r="P587" s="13">
        <f>INDEX(Products_Catalog!$D$2:$D$151, MATCH(C587, Products_Catalog!$A$2:$A$151, 0))</f>
        <v/>
      </c>
      <c r="Q587" s="13">
        <f>I587-J587</f>
        <v/>
      </c>
      <c r="R587" s="15">
        <f>IF(K587&gt;20, "BREACH", "OK")</f>
        <v/>
      </c>
    </row>
    <row r="588">
      <c r="A588" t="inlineStr">
        <is>
          <t>ORD01657</t>
        </is>
      </c>
      <c r="B588" t="inlineStr">
        <is>
          <t>CUST0040</t>
        </is>
      </c>
      <c r="C588" t="inlineStr">
        <is>
          <t>PROD024</t>
        </is>
      </c>
      <c r="D588" t="inlineStr">
        <is>
          <t>STORE018</t>
        </is>
      </c>
      <c r="E588" t="inlineStr">
        <is>
          <t>DP008</t>
        </is>
      </c>
      <c r="F588" t="inlineStr">
        <is>
          <t>2024-07-31 14:15:00</t>
        </is>
      </c>
      <c r="G588" t="inlineStr">
        <is>
          <t>2024-07-31 14:41:00</t>
        </is>
      </c>
      <c r="H588" s="14" t="n">
        <v>4</v>
      </c>
      <c r="I588" s="13" t="n">
        <v>1228.68</v>
      </c>
      <c r="J588" s="13" t="n">
        <v>101.57</v>
      </c>
      <c r="K588" s="16" t="n">
        <v>26</v>
      </c>
      <c r="L588" t="inlineStr">
        <is>
          <t>Pending</t>
        </is>
      </c>
      <c r="M588" t="inlineStr">
        <is>
          <t>PAY01</t>
        </is>
      </c>
      <c r="N588" t="inlineStr">
        <is>
          <t>Afternoon</t>
        </is>
      </c>
      <c r="O588">
        <f>INDEX(Products_Catalog!$B$2:$B$151, MATCH(C588, Products_Catalog!$A$2:$A$151, 0))</f>
        <v/>
      </c>
      <c r="P588" s="13">
        <f>INDEX(Products_Catalog!$D$2:$D$151, MATCH(C588, Products_Catalog!$A$2:$A$151, 0))</f>
        <v/>
      </c>
      <c r="Q588" s="13">
        <f>I588-J588</f>
        <v/>
      </c>
      <c r="R588" s="15">
        <f>IF(K588&gt;20, "BREACH", "OK")</f>
        <v/>
      </c>
    </row>
    <row r="589">
      <c r="A589" t="inlineStr">
        <is>
          <t>ORD01658</t>
        </is>
      </c>
      <c r="B589" t="inlineStr">
        <is>
          <t>CUST0033</t>
        </is>
      </c>
      <c r="C589" t="inlineStr">
        <is>
          <t>PROD025</t>
        </is>
      </c>
      <c r="D589" t="inlineStr">
        <is>
          <t>STORE037</t>
        </is>
      </c>
      <c r="E589" t="inlineStr">
        <is>
          <t>DP033</t>
        </is>
      </c>
      <c r="F589" t="inlineStr">
        <is>
          <t>2025-03-26 20:23:00</t>
        </is>
      </c>
      <c r="G589" t="inlineStr">
        <is>
          <t>2025-03-26 20:50:00</t>
        </is>
      </c>
      <c r="H589" s="14" t="n">
        <v>3</v>
      </c>
      <c r="I589" s="13" t="n">
        <v>1088.52</v>
      </c>
      <c r="J589" s="13" t="n">
        <v>241.85</v>
      </c>
      <c r="K589" s="16" t="n">
        <v>27</v>
      </c>
      <c r="L589" t="inlineStr">
        <is>
          <t>Pending</t>
        </is>
      </c>
      <c r="M589" t="inlineStr">
        <is>
          <t>PAY01</t>
        </is>
      </c>
      <c r="N589" t="inlineStr">
        <is>
          <t>Evening</t>
        </is>
      </c>
      <c r="O589">
        <f>INDEX(Products_Catalog!$B$2:$B$151, MATCH(C589, Products_Catalog!$A$2:$A$151, 0))</f>
        <v/>
      </c>
      <c r="P589" s="13">
        <f>INDEX(Products_Catalog!$D$2:$D$151, MATCH(C589, Products_Catalog!$A$2:$A$151, 0))</f>
        <v/>
      </c>
      <c r="Q589" s="13">
        <f>I589-J589</f>
        <v/>
      </c>
      <c r="R589" s="15">
        <f>IF(K589&gt;20, "BREACH", "OK")</f>
        <v/>
      </c>
    </row>
    <row r="590">
      <c r="A590" t="inlineStr">
        <is>
          <t>ORD01659</t>
        </is>
      </c>
      <c r="B590" t="inlineStr">
        <is>
          <t>CUST0017</t>
        </is>
      </c>
      <c r="C590" t="inlineStr">
        <is>
          <t>PROD003</t>
        </is>
      </c>
      <c r="D590" t="inlineStr">
        <is>
          <t>STORE022</t>
        </is>
      </c>
      <c r="E590" t="inlineStr">
        <is>
          <t>DP010</t>
        </is>
      </c>
      <c r="F590" t="inlineStr">
        <is>
          <t>2025-03-08 12:54:00</t>
        </is>
      </c>
      <c r="G590" t="inlineStr">
        <is>
          <t>2025-03-08 13:22:00</t>
        </is>
      </c>
      <c r="H590" s="14" t="n">
        <v>2</v>
      </c>
      <c r="I590" s="13" t="n">
        <v>315.02</v>
      </c>
      <c r="J590" s="13" t="n">
        <v>30.99</v>
      </c>
      <c r="K590" s="16" t="n">
        <v>28</v>
      </c>
      <c r="L590" t="inlineStr">
        <is>
          <t>Pending</t>
        </is>
      </c>
      <c r="M590" t="inlineStr">
        <is>
          <t>PAY01</t>
        </is>
      </c>
      <c r="N590" t="inlineStr">
        <is>
          <t>Afternoon</t>
        </is>
      </c>
      <c r="O590">
        <f>INDEX(Products_Catalog!$B$2:$B$151, MATCH(C590, Products_Catalog!$A$2:$A$151, 0))</f>
        <v/>
      </c>
      <c r="P590" s="13">
        <f>INDEX(Products_Catalog!$D$2:$D$151, MATCH(C590, Products_Catalog!$A$2:$A$151, 0))</f>
        <v/>
      </c>
      <c r="Q590" s="13">
        <f>I590-J590</f>
        <v/>
      </c>
      <c r="R590" s="15">
        <f>IF(K590&gt;20, "BREACH", "OK")</f>
        <v/>
      </c>
    </row>
    <row r="591">
      <c r="A591" t="inlineStr">
        <is>
          <t>ORD01661</t>
        </is>
      </c>
      <c r="B591" t="inlineStr">
        <is>
          <t>CUST0002</t>
        </is>
      </c>
      <c r="C591" t="inlineStr">
        <is>
          <t>PROD001</t>
        </is>
      </c>
      <c r="D591" t="inlineStr">
        <is>
          <t>STORE010</t>
        </is>
      </c>
      <c r="E591" t="inlineStr">
        <is>
          <t>DP005</t>
        </is>
      </c>
      <c r="F591" t="inlineStr">
        <is>
          <t>2024-04-20 16:33:00</t>
        </is>
      </c>
      <c r="G591" t="inlineStr">
        <is>
          <t>2024-04-20 17:03:00</t>
        </is>
      </c>
      <c r="H591" s="14" t="n">
        <v>9</v>
      </c>
      <c r="I591" s="13" t="n">
        <v>2773.17</v>
      </c>
      <c r="J591" s="13" t="n">
        <v>758.01</v>
      </c>
      <c r="K591" s="16" t="n">
        <v>30</v>
      </c>
      <c r="L591" t="inlineStr">
        <is>
          <t>Shipped</t>
        </is>
      </c>
      <c r="M591" t="inlineStr">
        <is>
          <t>PAY04</t>
        </is>
      </c>
      <c r="N591" t="inlineStr">
        <is>
          <t>Afternoon</t>
        </is>
      </c>
      <c r="O591">
        <f>INDEX(Products_Catalog!$B$2:$B$151, MATCH(C591, Products_Catalog!$A$2:$A$151, 0))</f>
        <v/>
      </c>
      <c r="P591" s="13">
        <f>INDEX(Products_Catalog!$D$2:$D$151, MATCH(C591, Products_Catalog!$A$2:$A$151, 0))</f>
        <v/>
      </c>
      <c r="Q591" s="13">
        <f>I591-J591</f>
        <v/>
      </c>
      <c r="R591" s="15">
        <f>IF(K591&gt;20, "BREACH", "OK")</f>
        <v/>
      </c>
    </row>
    <row r="592">
      <c r="A592" t="inlineStr">
        <is>
          <t>ORD01662</t>
        </is>
      </c>
      <c r="B592" t="inlineStr">
        <is>
          <t>CUST0031</t>
        </is>
      </c>
      <c r="C592" t="inlineStr">
        <is>
          <t>PROD082</t>
        </is>
      </c>
      <c r="D592" t="inlineStr">
        <is>
          <t>STORE030</t>
        </is>
      </c>
      <c r="E592" t="inlineStr">
        <is>
          <t>DP014</t>
        </is>
      </c>
      <c r="F592" t="inlineStr">
        <is>
          <t>2024-08-05 08:31:00</t>
        </is>
      </c>
      <c r="G592" t="inlineStr">
        <is>
          <t>2024-08-05 08:42:00</t>
        </is>
      </c>
      <c r="H592" s="14" t="n">
        <v>8</v>
      </c>
      <c r="I592" s="13" t="n">
        <v>2021.6</v>
      </c>
      <c r="J592" s="13" t="n">
        <v>61.17</v>
      </c>
      <c r="K592" s="16" t="n">
        <v>11</v>
      </c>
      <c r="L592" t="inlineStr">
        <is>
          <t>Pending</t>
        </is>
      </c>
      <c r="M592" t="inlineStr">
        <is>
          <t>PAY04</t>
        </is>
      </c>
      <c r="N592" t="inlineStr">
        <is>
          <t>Morning</t>
        </is>
      </c>
      <c r="O592">
        <f>INDEX(Products_Catalog!$B$2:$B$151, MATCH(C592, Products_Catalog!$A$2:$A$151, 0))</f>
        <v/>
      </c>
      <c r="P592" s="13">
        <f>INDEX(Products_Catalog!$D$2:$D$151, MATCH(C592, Products_Catalog!$A$2:$A$151, 0))</f>
        <v/>
      </c>
      <c r="Q592" s="13">
        <f>I592-J592</f>
        <v/>
      </c>
      <c r="R592" s="15">
        <f>IF(K592&gt;20, "BREACH", "OK")</f>
        <v/>
      </c>
    </row>
    <row r="593">
      <c r="A593" t="inlineStr">
        <is>
          <t>ORD01663</t>
        </is>
      </c>
      <c r="B593" t="inlineStr">
        <is>
          <t>CUST0050</t>
        </is>
      </c>
      <c r="C593" t="inlineStr">
        <is>
          <t>PROD131</t>
        </is>
      </c>
      <c r="D593" t="inlineStr">
        <is>
          <t>STORE003</t>
        </is>
      </c>
      <c r="E593" t="inlineStr">
        <is>
          <t>DP029</t>
        </is>
      </c>
      <c r="F593" t="inlineStr">
        <is>
          <t>2024-11-30 08:12:00</t>
        </is>
      </c>
      <c r="G593" t="inlineStr">
        <is>
          <t>2024-11-30 08:24:00</t>
        </is>
      </c>
      <c r="H593" s="14" t="n">
        <v>8</v>
      </c>
      <c r="I593" s="13" t="n">
        <v>1943.92</v>
      </c>
      <c r="J593" s="13" t="n">
        <v>122.8</v>
      </c>
      <c r="K593" s="16" t="n">
        <v>12</v>
      </c>
      <c r="L593" t="inlineStr">
        <is>
          <t>Delivered</t>
        </is>
      </c>
      <c r="M593" t="inlineStr">
        <is>
          <t>PAY05</t>
        </is>
      </c>
      <c r="N593" t="inlineStr">
        <is>
          <t>Morning</t>
        </is>
      </c>
      <c r="O593">
        <f>INDEX(Products_Catalog!$B$2:$B$151, MATCH(C593, Products_Catalog!$A$2:$A$151, 0))</f>
        <v/>
      </c>
      <c r="P593" s="13">
        <f>INDEX(Products_Catalog!$D$2:$D$151, MATCH(C593, Products_Catalog!$A$2:$A$151, 0))</f>
        <v/>
      </c>
      <c r="Q593" s="13">
        <f>I593-J593</f>
        <v/>
      </c>
      <c r="R593" s="15">
        <f>IF(K593&gt;20, "BREACH", "OK")</f>
        <v/>
      </c>
    </row>
    <row r="594">
      <c r="A594" t="inlineStr">
        <is>
          <t>ORD01665</t>
        </is>
      </c>
      <c r="B594" t="inlineStr">
        <is>
          <t>CUST0041</t>
        </is>
      </c>
      <c r="C594" t="inlineStr">
        <is>
          <t>PROD015</t>
        </is>
      </c>
      <c r="D594" t="inlineStr">
        <is>
          <t>STORE035</t>
        </is>
      </c>
      <c r="E594" t="inlineStr">
        <is>
          <t>DP043</t>
        </is>
      </c>
      <c r="F594" t="inlineStr">
        <is>
          <t>2024-10-18 13:23:00</t>
        </is>
      </c>
      <c r="G594" t="inlineStr">
        <is>
          <t>2024-10-18 13:37:00</t>
        </is>
      </c>
      <c r="H594" s="14" t="n">
        <v>9</v>
      </c>
      <c r="I594" s="13" t="n">
        <v>3761.91</v>
      </c>
      <c r="J594" s="13" t="n">
        <v>522.86</v>
      </c>
      <c r="K594" s="16" t="n">
        <v>14</v>
      </c>
      <c r="L594" t="inlineStr">
        <is>
          <t>Delivered</t>
        </is>
      </c>
      <c r="M594" t="inlineStr">
        <is>
          <t>PAY05</t>
        </is>
      </c>
      <c r="N594" t="inlineStr">
        <is>
          <t>Afternoon</t>
        </is>
      </c>
      <c r="O594">
        <f>INDEX(Products_Catalog!$B$2:$B$151, MATCH(C594, Products_Catalog!$A$2:$A$151, 0))</f>
        <v/>
      </c>
      <c r="P594" s="13">
        <f>INDEX(Products_Catalog!$D$2:$D$151, MATCH(C594, Products_Catalog!$A$2:$A$151, 0))</f>
        <v/>
      </c>
      <c r="Q594" s="13">
        <f>I594-J594</f>
        <v/>
      </c>
      <c r="R594" s="15">
        <f>IF(K594&gt;20, "BREACH", "OK")</f>
        <v/>
      </c>
    </row>
    <row r="595">
      <c r="A595" t="inlineStr">
        <is>
          <t>ORD01666</t>
        </is>
      </c>
      <c r="B595" t="inlineStr">
        <is>
          <t>CUST0038</t>
        </is>
      </c>
      <c r="C595" t="inlineStr">
        <is>
          <t>PROD119</t>
        </is>
      </c>
      <c r="D595" t="inlineStr">
        <is>
          <t>STORE017</t>
        </is>
      </c>
      <c r="E595" t="inlineStr">
        <is>
          <t>DP044</t>
        </is>
      </c>
      <c r="F595" t="inlineStr">
        <is>
          <t>2024-05-28 13:54:00</t>
        </is>
      </c>
      <c r="G595" t="inlineStr">
        <is>
          <t>2024-05-28 14:19:00</t>
        </is>
      </c>
      <c r="H595" s="14" t="n">
        <v>10</v>
      </c>
      <c r="I595" s="13" t="n">
        <v>3831</v>
      </c>
      <c r="J595" s="13" t="n">
        <v>556.05</v>
      </c>
      <c r="K595" s="16" t="n">
        <v>25</v>
      </c>
      <c r="L595" t="inlineStr">
        <is>
          <t>Delivered</t>
        </is>
      </c>
      <c r="M595" t="inlineStr">
        <is>
          <t>PAY01</t>
        </is>
      </c>
      <c r="N595" t="inlineStr">
        <is>
          <t>Afternoon</t>
        </is>
      </c>
      <c r="O595">
        <f>INDEX(Products_Catalog!$B$2:$B$151, MATCH(C595, Products_Catalog!$A$2:$A$151, 0))</f>
        <v/>
      </c>
      <c r="P595" s="13">
        <f>INDEX(Products_Catalog!$D$2:$D$151, MATCH(C595, Products_Catalog!$A$2:$A$151, 0))</f>
        <v/>
      </c>
      <c r="Q595" s="13">
        <f>I595-J595</f>
        <v/>
      </c>
      <c r="R595" s="15">
        <f>IF(K595&gt;20, "BREACH", "OK")</f>
        <v/>
      </c>
    </row>
    <row r="596">
      <c r="A596" t="inlineStr">
        <is>
          <t>ORD01668</t>
        </is>
      </c>
      <c r="B596" t="inlineStr">
        <is>
          <t>CUST0049</t>
        </is>
      </c>
      <c r="C596" t="inlineStr">
        <is>
          <t>PROD127</t>
        </is>
      </c>
      <c r="D596" t="inlineStr">
        <is>
          <t>STORE012</t>
        </is>
      </c>
      <c r="E596" t="inlineStr">
        <is>
          <t>DP041</t>
        </is>
      </c>
      <c r="F596" t="inlineStr">
        <is>
          <t>2024-07-16 10:04:00</t>
        </is>
      </c>
      <c r="G596" t="inlineStr">
        <is>
          <t>2024-07-16 10:21:00</t>
        </is>
      </c>
      <c r="H596" s="14" t="n">
        <v>2</v>
      </c>
      <c r="I596" s="13" t="n">
        <v>558.7</v>
      </c>
      <c r="J596" s="13" t="n">
        <v>155.64</v>
      </c>
      <c r="K596" s="16" t="n">
        <v>17</v>
      </c>
      <c r="L596" t="inlineStr">
        <is>
          <t>Shipped</t>
        </is>
      </c>
      <c r="M596" t="inlineStr">
        <is>
          <t>PAY05</t>
        </is>
      </c>
      <c r="N596" t="inlineStr">
        <is>
          <t>Morning</t>
        </is>
      </c>
      <c r="O596">
        <f>INDEX(Products_Catalog!$B$2:$B$151, MATCH(C596, Products_Catalog!$A$2:$A$151, 0))</f>
        <v/>
      </c>
      <c r="P596" s="13">
        <f>INDEX(Products_Catalog!$D$2:$D$151, MATCH(C596, Products_Catalog!$A$2:$A$151, 0))</f>
        <v/>
      </c>
      <c r="Q596" s="13">
        <f>I596-J596</f>
        <v/>
      </c>
      <c r="R596" s="15">
        <f>IF(K596&gt;20, "BREACH", "OK")</f>
        <v/>
      </c>
    </row>
    <row r="597">
      <c r="A597" t="inlineStr">
        <is>
          <t>ORD01669</t>
        </is>
      </c>
      <c r="B597" t="inlineStr">
        <is>
          <t>CUST0036</t>
        </is>
      </c>
      <c r="C597" t="inlineStr">
        <is>
          <t>PROD148</t>
        </is>
      </c>
      <c r="D597" t="inlineStr">
        <is>
          <t>STORE034</t>
        </is>
      </c>
      <c r="E597" t="inlineStr">
        <is>
          <t>DP017</t>
        </is>
      </c>
      <c r="F597" t="inlineStr">
        <is>
          <t>2025-01-20 20:08:00</t>
        </is>
      </c>
      <c r="G597" t="inlineStr">
        <is>
          <t>2025-01-20 20:26:00</t>
        </is>
      </c>
      <c r="H597" s="14" t="n">
        <v>4</v>
      </c>
      <c r="I597" s="13" t="n">
        <v>1091.32</v>
      </c>
      <c r="J597" s="13" t="n">
        <v>222</v>
      </c>
      <c r="K597" s="16" t="n">
        <v>18</v>
      </c>
      <c r="L597" t="inlineStr">
        <is>
          <t>Delivered</t>
        </is>
      </c>
      <c r="M597" t="inlineStr">
        <is>
          <t>PAY05</t>
        </is>
      </c>
      <c r="N597" t="inlineStr">
        <is>
          <t>Evening</t>
        </is>
      </c>
      <c r="O597">
        <f>INDEX(Products_Catalog!$B$2:$B$151, MATCH(C597, Products_Catalog!$A$2:$A$151, 0))</f>
        <v/>
      </c>
      <c r="P597" s="13">
        <f>INDEX(Products_Catalog!$D$2:$D$151, MATCH(C597, Products_Catalog!$A$2:$A$151, 0))</f>
        <v/>
      </c>
      <c r="Q597" s="13">
        <f>I597-J597</f>
        <v/>
      </c>
      <c r="R597" s="15">
        <f>IF(K597&gt;20, "BREACH", "OK")</f>
        <v/>
      </c>
    </row>
    <row r="598">
      <c r="A598" t="inlineStr">
        <is>
          <t>ORD01670</t>
        </is>
      </c>
      <c r="B598" t="inlineStr">
        <is>
          <t>CUST0047</t>
        </is>
      </c>
      <c r="C598" t="inlineStr">
        <is>
          <t>PROD105</t>
        </is>
      </c>
      <c r="D598" t="inlineStr">
        <is>
          <t>STORE008</t>
        </is>
      </c>
      <c r="E598" t="inlineStr">
        <is>
          <t>DP012</t>
        </is>
      </c>
      <c r="F598" t="inlineStr">
        <is>
          <t>2025-03-20 09:13:00</t>
        </is>
      </c>
      <c r="G598" t="inlineStr">
        <is>
          <t>2025-03-20 09:32:00</t>
        </is>
      </c>
      <c r="H598" s="14" t="n">
        <v>6</v>
      </c>
      <c r="I598" s="13" t="n">
        <v>549.12</v>
      </c>
      <c r="J598" s="13" t="n">
        <v>24.26</v>
      </c>
      <c r="K598" s="16" t="n">
        <v>19</v>
      </c>
      <c r="L598" t="inlineStr">
        <is>
          <t>Returned</t>
        </is>
      </c>
      <c r="M598" t="inlineStr">
        <is>
          <t>PAY05</t>
        </is>
      </c>
      <c r="N598" t="inlineStr">
        <is>
          <t>Morning</t>
        </is>
      </c>
      <c r="O598">
        <f>INDEX(Products_Catalog!$B$2:$B$151, MATCH(C598, Products_Catalog!$A$2:$A$151, 0))</f>
        <v/>
      </c>
      <c r="P598" s="13">
        <f>INDEX(Products_Catalog!$D$2:$D$151, MATCH(C598, Products_Catalog!$A$2:$A$151, 0))</f>
        <v/>
      </c>
      <c r="Q598" s="13">
        <f>I598-J598</f>
        <v/>
      </c>
      <c r="R598" s="15">
        <f>IF(K598&gt;20, "BREACH", "OK")</f>
        <v/>
      </c>
    </row>
    <row r="599">
      <c r="A599" t="inlineStr">
        <is>
          <t>ORD01671</t>
        </is>
      </c>
      <c r="B599" t="inlineStr">
        <is>
          <t>CUST0045</t>
        </is>
      </c>
      <c r="C599" t="inlineStr">
        <is>
          <t>PROD081</t>
        </is>
      </c>
      <c r="D599" t="inlineStr">
        <is>
          <t>STORE047</t>
        </is>
      </c>
      <c r="E599" t="inlineStr">
        <is>
          <t>DP011</t>
        </is>
      </c>
      <c r="F599" t="inlineStr">
        <is>
          <t>2024-12-30 09:08:00</t>
        </is>
      </c>
      <c r="G599" t="inlineStr">
        <is>
          <t>2024-12-30 09:28:00</t>
        </is>
      </c>
      <c r="H599" s="14" t="n">
        <v>8</v>
      </c>
      <c r="I599" s="13" t="n">
        <v>2747.28</v>
      </c>
      <c r="J599" s="13" t="n">
        <v>722.3</v>
      </c>
      <c r="K599" s="16" t="n">
        <v>20</v>
      </c>
      <c r="L599" t="inlineStr">
        <is>
          <t>Shipped</t>
        </is>
      </c>
      <c r="M599" t="inlineStr">
        <is>
          <t>PAY03</t>
        </is>
      </c>
      <c r="N599" t="inlineStr">
        <is>
          <t>Morning</t>
        </is>
      </c>
      <c r="O599">
        <f>INDEX(Products_Catalog!$B$2:$B$151, MATCH(C599, Products_Catalog!$A$2:$A$151, 0))</f>
        <v/>
      </c>
      <c r="P599" s="13">
        <f>INDEX(Products_Catalog!$D$2:$D$151, MATCH(C599, Products_Catalog!$A$2:$A$151, 0))</f>
        <v/>
      </c>
      <c r="Q599" s="13">
        <f>I599-J599</f>
        <v/>
      </c>
      <c r="R599" s="15">
        <f>IF(K599&gt;20, "BREACH", "OK")</f>
        <v/>
      </c>
    </row>
    <row r="600">
      <c r="A600" t="inlineStr">
        <is>
          <t>ORD01674</t>
        </is>
      </c>
      <c r="B600" t="inlineStr">
        <is>
          <t>CUST0022</t>
        </is>
      </c>
      <c r="C600" t="inlineStr">
        <is>
          <t>PROD066</t>
        </is>
      </c>
      <c r="D600" t="inlineStr">
        <is>
          <t>STORE042</t>
        </is>
      </c>
      <c r="E600" t="inlineStr">
        <is>
          <t>DP005</t>
        </is>
      </c>
      <c r="F600" t="inlineStr">
        <is>
          <t>2025-04-26 15:26:00</t>
        </is>
      </c>
      <c r="G600" t="inlineStr">
        <is>
          <t>2025-04-26 15:49:00</t>
        </is>
      </c>
      <c r="H600" s="14" t="n">
        <v>6</v>
      </c>
      <c r="I600" s="13" t="n">
        <v>2724.06</v>
      </c>
      <c r="J600" s="13" t="n">
        <v>783.04</v>
      </c>
      <c r="K600" s="16" t="n">
        <v>23</v>
      </c>
      <c r="L600" t="inlineStr">
        <is>
          <t>Shipped</t>
        </is>
      </c>
      <c r="M600" t="inlineStr">
        <is>
          <t>PAY03</t>
        </is>
      </c>
      <c r="N600" t="inlineStr">
        <is>
          <t>Afternoon</t>
        </is>
      </c>
      <c r="O600">
        <f>INDEX(Products_Catalog!$B$2:$B$151, MATCH(C600, Products_Catalog!$A$2:$A$151, 0))</f>
        <v/>
      </c>
      <c r="P600" s="13">
        <f>INDEX(Products_Catalog!$D$2:$D$151, MATCH(C600, Products_Catalog!$A$2:$A$151, 0))</f>
        <v/>
      </c>
      <c r="Q600" s="13">
        <f>I600-J600</f>
        <v/>
      </c>
      <c r="R600" s="15">
        <f>IF(K600&gt;20, "BREACH", "OK")</f>
        <v/>
      </c>
    </row>
    <row r="601">
      <c r="A601" t="inlineStr">
        <is>
          <t>ORD01675</t>
        </is>
      </c>
      <c r="B601" t="inlineStr">
        <is>
          <t>CUST0030</t>
        </is>
      </c>
      <c r="C601" t="inlineStr">
        <is>
          <t>PROD114</t>
        </is>
      </c>
      <c r="D601" t="inlineStr">
        <is>
          <t>STORE038</t>
        </is>
      </c>
      <c r="E601" t="inlineStr">
        <is>
          <t>DP024</t>
        </is>
      </c>
      <c r="F601" t="inlineStr">
        <is>
          <t>2024-05-19 15:31:00</t>
        </is>
      </c>
      <c r="G601" t="inlineStr">
        <is>
          <t>2024-05-19 15:55:00</t>
        </is>
      </c>
      <c r="H601" s="14" t="n">
        <v>3</v>
      </c>
      <c r="I601" s="13" t="n">
        <v>1418.94</v>
      </c>
      <c r="J601" s="13" t="n">
        <v>67.23</v>
      </c>
      <c r="K601" s="16" t="n">
        <v>24</v>
      </c>
      <c r="L601" t="inlineStr">
        <is>
          <t>Shipped</t>
        </is>
      </c>
      <c r="M601" t="inlineStr">
        <is>
          <t>PAY01</t>
        </is>
      </c>
      <c r="N601" t="inlineStr">
        <is>
          <t>Afternoon</t>
        </is>
      </c>
      <c r="O601">
        <f>INDEX(Products_Catalog!$B$2:$B$151, MATCH(C601, Products_Catalog!$A$2:$A$151, 0))</f>
        <v/>
      </c>
      <c r="P601" s="13">
        <f>INDEX(Products_Catalog!$D$2:$D$151, MATCH(C601, Products_Catalog!$A$2:$A$151, 0))</f>
        <v/>
      </c>
      <c r="Q601" s="13">
        <f>I601-J601</f>
        <v/>
      </c>
      <c r="R601" s="15">
        <f>IF(K601&gt;20, "BREACH", "OK")</f>
        <v/>
      </c>
    </row>
    <row r="602">
      <c r="A602" t="inlineStr">
        <is>
          <t>ORD01676</t>
        </is>
      </c>
      <c r="B602" t="inlineStr">
        <is>
          <t>CUST0016</t>
        </is>
      </c>
      <c r="C602" t="inlineStr">
        <is>
          <t>PROD093</t>
        </is>
      </c>
      <c r="D602" t="inlineStr">
        <is>
          <t>STORE011</t>
        </is>
      </c>
      <c r="E602" t="inlineStr">
        <is>
          <t>DP027</t>
        </is>
      </c>
      <c r="F602" t="inlineStr">
        <is>
          <t>2024-03-13 13:02:00</t>
        </is>
      </c>
      <c r="G602" t="inlineStr">
        <is>
          <t>2024-03-13 13:27:00</t>
        </is>
      </c>
      <c r="H602" s="14" t="n">
        <v>6</v>
      </c>
      <c r="I602" s="13" t="n">
        <v>1993.86</v>
      </c>
      <c r="J602" s="13" t="n">
        <v>519.09</v>
      </c>
      <c r="K602" s="16" t="n">
        <v>25</v>
      </c>
      <c r="L602" t="inlineStr">
        <is>
          <t>Cancelled</t>
        </is>
      </c>
      <c r="M602" t="inlineStr">
        <is>
          <t>PAY01</t>
        </is>
      </c>
      <c r="N602" t="inlineStr">
        <is>
          <t>Afternoon</t>
        </is>
      </c>
      <c r="O602">
        <f>INDEX(Products_Catalog!$B$2:$B$151, MATCH(C602, Products_Catalog!$A$2:$A$151, 0))</f>
        <v/>
      </c>
      <c r="P602" s="13">
        <f>INDEX(Products_Catalog!$D$2:$D$151, MATCH(C602, Products_Catalog!$A$2:$A$151, 0))</f>
        <v/>
      </c>
      <c r="Q602" s="13">
        <f>I602-J602</f>
        <v/>
      </c>
      <c r="R602" s="15">
        <f>IF(K602&gt;20, "BREACH", "OK")</f>
        <v/>
      </c>
    </row>
    <row r="603">
      <c r="A603" t="inlineStr">
        <is>
          <t>ORD01677</t>
        </is>
      </c>
      <c r="B603" t="inlineStr">
        <is>
          <t>CUST0037</t>
        </is>
      </c>
      <c r="C603" t="inlineStr">
        <is>
          <t>PROD059</t>
        </is>
      </c>
      <c r="D603" t="inlineStr">
        <is>
          <t>STORE034</t>
        </is>
      </c>
      <c r="E603" t="inlineStr">
        <is>
          <t>DP012</t>
        </is>
      </c>
      <c r="F603" t="inlineStr">
        <is>
          <t>2024-12-29 19:22:00</t>
        </is>
      </c>
      <c r="G603" t="inlineStr">
        <is>
          <t>2024-12-29 19:48:00</t>
        </is>
      </c>
      <c r="H603" s="14" t="n">
        <v>3</v>
      </c>
      <c r="I603" s="13" t="n">
        <v>631.74</v>
      </c>
      <c r="J603" s="13" t="n">
        <v>17.02</v>
      </c>
      <c r="K603" s="16" t="n">
        <v>26</v>
      </c>
      <c r="L603" t="inlineStr">
        <is>
          <t>Pending</t>
        </is>
      </c>
      <c r="M603" t="inlineStr">
        <is>
          <t>PAY01</t>
        </is>
      </c>
      <c r="N603" t="inlineStr">
        <is>
          <t>Evening</t>
        </is>
      </c>
      <c r="O603">
        <f>INDEX(Products_Catalog!$B$2:$B$151, MATCH(C603, Products_Catalog!$A$2:$A$151, 0))</f>
        <v/>
      </c>
      <c r="P603" s="13">
        <f>INDEX(Products_Catalog!$D$2:$D$151, MATCH(C603, Products_Catalog!$A$2:$A$151, 0))</f>
        <v/>
      </c>
      <c r="Q603" s="13">
        <f>I603-J603</f>
        <v/>
      </c>
      <c r="R603" s="15">
        <f>IF(K603&gt;20, "BREACH", "OK")</f>
        <v/>
      </c>
    </row>
    <row r="604">
      <c r="A604" t="inlineStr">
        <is>
          <t>ORD01679</t>
        </is>
      </c>
      <c r="B604" t="inlineStr">
        <is>
          <t>CUST0048</t>
        </is>
      </c>
      <c r="C604" t="inlineStr">
        <is>
          <t>PROD031</t>
        </is>
      </c>
      <c r="D604" t="inlineStr">
        <is>
          <t>STORE009</t>
        </is>
      </c>
      <c r="E604" t="inlineStr">
        <is>
          <t>DP033</t>
        </is>
      </c>
      <c r="F604" t="inlineStr">
        <is>
          <t>2025-01-28 11:09:00</t>
        </is>
      </c>
      <c r="G604" t="inlineStr">
        <is>
          <t>2025-01-28 11:37:00</t>
        </is>
      </c>
      <c r="H604" s="14" t="n">
        <v>10</v>
      </c>
      <c r="I604" s="13" t="n">
        <v>1109.2</v>
      </c>
      <c r="J604" s="13" t="n">
        <v>326.12</v>
      </c>
      <c r="K604" s="16" t="n">
        <v>28</v>
      </c>
      <c r="L604" t="inlineStr">
        <is>
          <t>Shipped</t>
        </is>
      </c>
      <c r="M604" t="inlineStr">
        <is>
          <t>PAY04</t>
        </is>
      </c>
      <c r="N604" t="inlineStr">
        <is>
          <t>Morning</t>
        </is>
      </c>
      <c r="O604">
        <f>INDEX(Products_Catalog!$B$2:$B$151, MATCH(C604, Products_Catalog!$A$2:$A$151, 0))</f>
        <v/>
      </c>
      <c r="P604" s="13">
        <f>INDEX(Products_Catalog!$D$2:$D$151, MATCH(C604, Products_Catalog!$A$2:$A$151, 0))</f>
        <v/>
      </c>
      <c r="Q604" s="13">
        <f>I604-J604</f>
        <v/>
      </c>
      <c r="R604" s="15">
        <f>IF(K604&gt;20, "BREACH", "OK")</f>
        <v/>
      </c>
    </row>
    <row r="605">
      <c r="A605" t="inlineStr">
        <is>
          <t>ORD01680</t>
        </is>
      </c>
      <c r="B605" t="inlineStr">
        <is>
          <t>CUST0040</t>
        </is>
      </c>
      <c r="C605" t="inlineStr">
        <is>
          <t>PROD015</t>
        </is>
      </c>
      <c r="D605" t="inlineStr">
        <is>
          <t>STORE050</t>
        </is>
      </c>
      <c r="E605" t="inlineStr">
        <is>
          <t>DP042</t>
        </is>
      </c>
      <c r="F605" t="inlineStr">
        <is>
          <t>2024-01-29 08:41:00</t>
        </is>
      </c>
      <c r="G605" t="inlineStr">
        <is>
          <t>2024-01-29 09:10:00</t>
        </is>
      </c>
      <c r="H605" s="14" t="n">
        <v>6</v>
      </c>
      <c r="I605" s="13" t="n">
        <v>675.24</v>
      </c>
      <c r="J605" s="13" t="n">
        <v>132.55</v>
      </c>
      <c r="K605" s="16" t="n">
        <v>29</v>
      </c>
      <c r="L605" t="inlineStr">
        <is>
          <t>Shipped</t>
        </is>
      </c>
      <c r="M605" t="inlineStr">
        <is>
          <t>PAY02</t>
        </is>
      </c>
      <c r="N605" t="inlineStr">
        <is>
          <t>Morning</t>
        </is>
      </c>
      <c r="O605">
        <f>INDEX(Products_Catalog!$B$2:$B$151, MATCH(C605, Products_Catalog!$A$2:$A$151, 0))</f>
        <v/>
      </c>
      <c r="P605" s="13">
        <f>INDEX(Products_Catalog!$D$2:$D$151, MATCH(C605, Products_Catalog!$A$2:$A$151, 0))</f>
        <v/>
      </c>
      <c r="Q605" s="13">
        <f>I605-J605</f>
        <v/>
      </c>
      <c r="R605" s="15">
        <f>IF(K605&gt;20, "BREACH", "OK")</f>
        <v/>
      </c>
    </row>
    <row r="606">
      <c r="A606" t="inlineStr">
        <is>
          <t>ORD01681</t>
        </is>
      </c>
      <c r="B606" t="inlineStr">
        <is>
          <t>CUST0002</t>
        </is>
      </c>
      <c r="C606" t="inlineStr">
        <is>
          <t>PROD032</t>
        </is>
      </c>
      <c r="D606" t="inlineStr">
        <is>
          <t>STORE008</t>
        </is>
      </c>
      <c r="E606" t="inlineStr">
        <is>
          <t>DP028</t>
        </is>
      </c>
      <c r="F606" t="inlineStr">
        <is>
          <t>2025-03-18 09:30:00</t>
        </is>
      </c>
      <c r="G606" t="inlineStr">
        <is>
          <t>2025-03-18 10:00:00</t>
        </is>
      </c>
      <c r="H606" s="14" t="n">
        <v>8</v>
      </c>
      <c r="I606" s="13" t="n">
        <v>868</v>
      </c>
      <c r="J606" s="13" t="n">
        <v>144.84</v>
      </c>
      <c r="K606" s="16" t="n">
        <v>30</v>
      </c>
      <c r="L606" t="inlineStr">
        <is>
          <t>Returned</t>
        </is>
      </c>
      <c r="M606" t="inlineStr">
        <is>
          <t>PAY04</t>
        </is>
      </c>
      <c r="N606" t="inlineStr">
        <is>
          <t>Morning</t>
        </is>
      </c>
      <c r="O606">
        <f>INDEX(Products_Catalog!$B$2:$B$151, MATCH(C606, Products_Catalog!$A$2:$A$151, 0))</f>
        <v/>
      </c>
      <c r="P606" s="13">
        <f>INDEX(Products_Catalog!$D$2:$D$151, MATCH(C606, Products_Catalog!$A$2:$A$151, 0))</f>
        <v/>
      </c>
      <c r="Q606" s="13">
        <f>I606-J606</f>
        <v/>
      </c>
      <c r="R606" s="15">
        <f>IF(K606&gt;20, "BREACH", "OK")</f>
        <v/>
      </c>
    </row>
    <row r="607">
      <c r="A607" t="inlineStr">
        <is>
          <t>ORD01684</t>
        </is>
      </c>
      <c r="B607" t="inlineStr">
        <is>
          <t>CUST0019</t>
        </is>
      </c>
      <c r="C607" t="inlineStr">
        <is>
          <t>PROD136</t>
        </is>
      </c>
      <c r="D607" t="inlineStr">
        <is>
          <t>STORE034</t>
        </is>
      </c>
      <c r="E607" t="inlineStr">
        <is>
          <t>DP021</t>
        </is>
      </c>
      <c r="F607" t="inlineStr">
        <is>
          <t>2025-04-29 14:16:00</t>
        </is>
      </c>
      <c r="G607" t="inlineStr">
        <is>
          <t>2025-04-29 14:28:00</t>
        </is>
      </c>
      <c r="H607" s="14" t="n">
        <v>1</v>
      </c>
      <c r="I607" s="13" t="n">
        <v>409.88</v>
      </c>
      <c r="J607" s="13" t="n">
        <v>59.66</v>
      </c>
      <c r="K607" s="16" t="n">
        <v>12</v>
      </c>
      <c r="L607" t="inlineStr">
        <is>
          <t>Returned</t>
        </is>
      </c>
      <c r="M607" t="inlineStr">
        <is>
          <t>PAY05</t>
        </is>
      </c>
      <c r="N607" t="inlineStr">
        <is>
          <t>Afternoon</t>
        </is>
      </c>
      <c r="O607">
        <f>INDEX(Products_Catalog!$B$2:$B$151, MATCH(C607, Products_Catalog!$A$2:$A$151, 0))</f>
        <v/>
      </c>
      <c r="P607" s="13">
        <f>INDEX(Products_Catalog!$D$2:$D$151, MATCH(C607, Products_Catalog!$A$2:$A$151, 0))</f>
        <v/>
      </c>
      <c r="Q607" s="13">
        <f>I607-J607</f>
        <v/>
      </c>
      <c r="R607" s="15">
        <f>IF(K607&gt;20, "BREACH", "OK")</f>
        <v/>
      </c>
    </row>
    <row r="608">
      <c r="A608" t="inlineStr">
        <is>
          <t>ORD01685</t>
        </is>
      </c>
      <c r="B608" t="inlineStr">
        <is>
          <t>CUST0027</t>
        </is>
      </c>
      <c r="C608" t="inlineStr">
        <is>
          <t>PROD084</t>
        </is>
      </c>
      <c r="D608" t="inlineStr">
        <is>
          <t>STORE049</t>
        </is>
      </c>
      <c r="E608" t="inlineStr">
        <is>
          <t>DP029</t>
        </is>
      </c>
      <c r="F608" t="inlineStr">
        <is>
          <t>2025-03-23 08:21:00</t>
        </is>
      </c>
      <c r="G608" t="inlineStr">
        <is>
          <t>2025-03-23 08:34:00</t>
        </is>
      </c>
      <c r="H608" s="14" t="n">
        <v>10</v>
      </c>
      <c r="I608" s="13" t="n">
        <v>1008.6</v>
      </c>
      <c r="J608" s="13" t="n">
        <v>6.02</v>
      </c>
      <c r="K608" s="16" t="n">
        <v>13</v>
      </c>
      <c r="L608" t="inlineStr">
        <is>
          <t>Returned</t>
        </is>
      </c>
      <c r="M608" t="inlineStr">
        <is>
          <t>PAY01</t>
        </is>
      </c>
      <c r="N608" t="inlineStr">
        <is>
          <t>Morning</t>
        </is>
      </c>
      <c r="O608">
        <f>INDEX(Products_Catalog!$B$2:$B$151, MATCH(C608, Products_Catalog!$A$2:$A$151, 0))</f>
        <v/>
      </c>
      <c r="P608" s="13">
        <f>INDEX(Products_Catalog!$D$2:$D$151, MATCH(C608, Products_Catalog!$A$2:$A$151, 0))</f>
        <v/>
      </c>
      <c r="Q608" s="13">
        <f>I608-J608</f>
        <v/>
      </c>
      <c r="R608" s="15">
        <f>IF(K608&gt;20, "BREACH", "OK")</f>
        <v/>
      </c>
    </row>
    <row r="609">
      <c r="A609" t="inlineStr">
        <is>
          <t>ORD01686</t>
        </is>
      </c>
      <c r="B609" t="inlineStr">
        <is>
          <t>CUST0048</t>
        </is>
      </c>
      <c r="C609" t="inlineStr">
        <is>
          <t>PROD063</t>
        </is>
      </c>
      <c r="D609" t="inlineStr">
        <is>
          <t>STORE018</t>
        </is>
      </c>
      <c r="E609" t="inlineStr">
        <is>
          <t>DP044</t>
        </is>
      </c>
      <c r="F609" t="inlineStr">
        <is>
          <t>2024-01-27 12:16:00</t>
        </is>
      </c>
      <c r="G609" t="inlineStr">
        <is>
          <t>2024-01-27 12:30:00</t>
        </is>
      </c>
      <c r="H609" s="14" t="n">
        <v>6</v>
      </c>
      <c r="I609" s="13" t="n">
        <v>490.86</v>
      </c>
      <c r="J609" s="13" t="n">
        <v>128.78</v>
      </c>
      <c r="K609" s="16" t="n">
        <v>14</v>
      </c>
      <c r="L609" t="inlineStr">
        <is>
          <t>Pending</t>
        </is>
      </c>
      <c r="M609" t="inlineStr">
        <is>
          <t>PAY05</t>
        </is>
      </c>
      <c r="N609" t="inlineStr">
        <is>
          <t>Afternoon</t>
        </is>
      </c>
      <c r="O609">
        <f>INDEX(Products_Catalog!$B$2:$B$151, MATCH(C609, Products_Catalog!$A$2:$A$151, 0))</f>
        <v/>
      </c>
      <c r="P609" s="13">
        <f>INDEX(Products_Catalog!$D$2:$D$151, MATCH(C609, Products_Catalog!$A$2:$A$151, 0))</f>
        <v/>
      </c>
      <c r="Q609" s="13">
        <f>I609-J609</f>
        <v/>
      </c>
      <c r="R609" s="15">
        <f>IF(K609&gt;20, "BREACH", "OK")</f>
        <v/>
      </c>
    </row>
    <row r="610">
      <c r="A610" t="inlineStr">
        <is>
          <t>ORD01688</t>
        </is>
      </c>
      <c r="B610" t="inlineStr">
        <is>
          <t>CUST0023</t>
        </is>
      </c>
      <c r="C610" t="inlineStr">
        <is>
          <t>PROD044</t>
        </is>
      </c>
      <c r="D610" t="inlineStr">
        <is>
          <t>STORE022</t>
        </is>
      </c>
      <c r="E610" t="inlineStr">
        <is>
          <t>DP015</t>
        </is>
      </c>
      <c r="F610" t="inlineStr">
        <is>
          <t>2025-01-02 13:42:00</t>
        </is>
      </c>
      <c r="G610" t="inlineStr">
        <is>
          <t>2025-01-02 13:58:00</t>
        </is>
      </c>
      <c r="H610" s="14" t="n">
        <v>3</v>
      </c>
      <c r="I610" s="13" t="n">
        <v>1198.17</v>
      </c>
      <c r="J610" s="13" t="n">
        <v>116.7</v>
      </c>
      <c r="K610" s="16" t="n">
        <v>16</v>
      </c>
      <c r="L610" t="inlineStr">
        <is>
          <t>Returned</t>
        </is>
      </c>
      <c r="M610" t="inlineStr">
        <is>
          <t>PAY05</t>
        </is>
      </c>
      <c r="N610" t="inlineStr">
        <is>
          <t>Afternoon</t>
        </is>
      </c>
      <c r="O610">
        <f>INDEX(Products_Catalog!$B$2:$B$151, MATCH(C610, Products_Catalog!$A$2:$A$151, 0))</f>
        <v/>
      </c>
      <c r="P610" s="13">
        <f>INDEX(Products_Catalog!$D$2:$D$151, MATCH(C610, Products_Catalog!$A$2:$A$151, 0))</f>
        <v/>
      </c>
      <c r="Q610" s="13">
        <f>I610-J610</f>
        <v/>
      </c>
      <c r="R610" s="15">
        <f>IF(K610&gt;20, "BREACH", "OK")</f>
        <v/>
      </c>
    </row>
    <row r="611">
      <c r="A611" t="inlineStr">
        <is>
          <t>ORD01689</t>
        </is>
      </c>
      <c r="B611" t="inlineStr">
        <is>
          <t>CUST0035</t>
        </is>
      </c>
      <c r="C611" t="inlineStr">
        <is>
          <t>PROD066</t>
        </is>
      </c>
      <c r="D611" t="inlineStr">
        <is>
          <t>STORE044</t>
        </is>
      </c>
      <c r="E611" t="inlineStr">
        <is>
          <t>DP019</t>
        </is>
      </c>
      <c r="F611" t="inlineStr">
        <is>
          <t>2025-06-17 12:15:00</t>
        </is>
      </c>
      <c r="G611" t="inlineStr">
        <is>
          <t>2025-06-17 12:32:00</t>
        </is>
      </c>
      <c r="H611" s="14" t="n">
        <v>4</v>
      </c>
      <c r="I611" s="13" t="n">
        <v>251.04</v>
      </c>
      <c r="J611" s="13" t="n">
        <v>18.32</v>
      </c>
      <c r="K611" s="16" t="n">
        <v>17</v>
      </c>
      <c r="L611" t="inlineStr">
        <is>
          <t>Returned</t>
        </is>
      </c>
      <c r="M611" t="inlineStr">
        <is>
          <t>PAY05</t>
        </is>
      </c>
      <c r="N611" t="inlineStr">
        <is>
          <t>Afternoon</t>
        </is>
      </c>
      <c r="O611">
        <f>INDEX(Products_Catalog!$B$2:$B$151, MATCH(C611, Products_Catalog!$A$2:$A$151, 0))</f>
        <v/>
      </c>
      <c r="P611" s="13">
        <f>INDEX(Products_Catalog!$D$2:$D$151, MATCH(C611, Products_Catalog!$A$2:$A$151, 0))</f>
        <v/>
      </c>
      <c r="Q611" s="13">
        <f>I611-J611</f>
        <v/>
      </c>
      <c r="R611" s="15">
        <f>IF(K611&gt;20, "BREACH", "OK")</f>
        <v/>
      </c>
    </row>
    <row r="612">
      <c r="A612" t="inlineStr">
        <is>
          <t>ORD01690</t>
        </is>
      </c>
      <c r="B612" t="inlineStr">
        <is>
          <t>CUST0021</t>
        </is>
      </c>
      <c r="C612" t="inlineStr">
        <is>
          <t>PROD142</t>
        </is>
      </c>
      <c r="D612" t="inlineStr">
        <is>
          <t>STORE026</t>
        </is>
      </c>
      <c r="E612" t="inlineStr">
        <is>
          <t>DP007</t>
        </is>
      </c>
      <c r="F612" t="inlineStr">
        <is>
          <t>2025-03-07 12:53:00</t>
        </is>
      </c>
      <c r="G612" t="inlineStr">
        <is>
          <t>2025-03-07 13:11:00</t>
        </is>
      </c>
      <c r="H612" s="14" t="n">
        <v>5</v>
      </c>
      <c r="I612" s="13" t="n">
        <v>794.5</v>
      </c>
      <c r="J612" s="13" t="n">
        <v>85.27</v>
      </c>
      <c r="K612" s="16" t="n">
        <v>18</v>
      </c>
      <c r="L612" t="inlineStr">
        <is>
          <t>Cancelled</t>
        </is>
      </c>
      <c r="M612" t="inlineStr">
        <is>
          <t>PAY01</t>
        </is>
      </c>
      <c r="N612" t="inlineStr">
        <is>
          <t>Afternoon</t>
        </is>
      </c>
      <c r="O612">
        <f>INDEX(Products_Catalog!$B$2:$B$151, MATCH(C612, Products_Catalog!$A$2:$A$151, 0))</f>
        <v/>
      </c>
      <c r="P612" s="13">
        <f>INDEX(Products_Catalog!$D$2:$D$151, MATCH(C612, Products_Catalog!$A$2:$A$151, 0))</f>
        <v/>
      </c>
      <c r="Q612" s="13">
        <f>I612-J612</f>
        <v/>
      </c>
      <c r="R612" s="15">
        <f>IF(K612&gt;20, "BREACH", "OK")</f>
        <v/>
      </c>
    </row>
    <row r="613">
      <c r="A613" t="inlineStr">
        <is>
          <t>ORD01692</t>
        </is>
      </c>
      <c r="B613" t="inlineStr">
        <is>
          <t>CUST0008</t>
        </is>
      </c>
      <c r="C613" t="inlineStr">
        <is>
          <t>PROD115</t>
        </is>
      </c>
      <c r="D613" t="inlineStr">
        <is>
          <t>STORE008</t>
        </is>
      </c>
      <c r="E613" t="inlineStr">
        <is>
          <t>DP042</t>
        </is>
      </c>
      <c r="F613" t="inlineStr">
        <is>
          <t>2025-04-30 20:21:00</t>
        </is>
      </c>
      <c r="G613" t="inlineStr">
        <is>
          <t>2025-04-30 20:41:00</t>
        </is>
      </c>
      <c r="H613" s="14" t="n">
        <v>2</v>
      </c>
      <c r="I613" s="13" t="n">
        <v>189.42</v>
      </c>
      <c r="J613" s="13" t="n">
        <v>8.98</v>
      </c>
      <c r="K613" s="16" t="n">
        <v>20</v>
      </c>
      <c r="L613" t="inlineStr">
        <is>
          <t>Delivered</t>
        </is>
      </c>
      <c r="M613" t="inlineStr">
        <is>
          <t>PAY03</t>
        </is>
      </c>
      <c r="N613" t="inlineStr">
        <is>
          <t>Evening</t>
        </is>
      </c>
      <c r="O613">
        <f>INDEX(Products_Catalog!$B$2:$B$151, MATCH(C613, Products_Catalog!$A$2:$A$151, 0))</f>
        <v/>
      </c>
      <c r="P613" s="13">
        <f>INDEX(Products_Catalog!$D$2:$D$151, MATCH(C613, Products_Catalog!$A$2:$A$151, 0))</f>
        <v/>
      </c>
      <c r="Q613" s="13">
        <f>I613-J613</f>
        <v/>
      </c>
      <c r="R613" s="15">
        <f>IF(K613&gt;20, "BREACH", "OK")</f>
        <v/>
      </c>
    </row>
    <row r="614">
      <c r="A614" t="inlineStr">
        <is>
          <t>ORD01693</t>
        </is>
      </c>
      <c r="B614" t="inlineStr">
        <is>
          <t>CUST0021</t>
        </is>
      </c>
      <c r="C614" t="inlineStr">
        <is>
          <t>PROD063</t>
        </is>
      </c>
      <c r="D614" t="inlineStr">
        <is>
          <t>STORE038</t>
        </is>
      </c>
      <c r="E614" t="inlineStr">
        <is>
          <t>DP047</t>
        </is>
      </c>
      <c r="F614" t="inlineStr">
        <is>
          <t>2024-01-08 18:33:00</t>
        </is>
      </c>
      <c r="G614" t="inlineStr">
        <is>
          <t>2024-01-08 18:54:00</t>
        </is>
      </c>
      <c r="H614" s="14" t="n">
        <v>4</v>
      </c>
      <c r="I614" s="13" t="n">
        <v>1541.72</v>
      </c>
      <c r="J614" s="13" t="n">
        <v>83.34999999999999</v>
      </c>
      <c r="K614" s="16" t="n">
        <v>21</v>
      </c>
      <c r="L614" t="inlineStr">
        <is>
          <t>Cancelled</t>
        </is>
      </c>
      <c r="M614" t="inlineStr">
        <is>
          <t>PAY04</t>
        </is>
      </c>
      <c r="N614" t="inlineStr">
        <is>
          <t>Evening</t>
        </is>
      </c>
      <c r="O614">
        <f>INDEX(Products_Catalog!$B$2:$B$151, MATCH(C614, Products_Catalog!$A$2:$A$151, 0))</f>
        <v/>
      </c>
      <c r="P614" s="13">
        <f>INDEX(Products_Catalog!$D$2:$D$151, MATCH(C614, Products_Catalog!$A$2:$A$151, 0))</f>
        <v/>
      </c>
      <c r="Q614" s="13">
        <f>I614-J614</f>
        <v/>
      </c>
      <c r="R614" s="15">
        <f>IF(K614&gt;20, "BREACH", "OK")</f>
        <v/>
      </c>
    </row>
    <row r="615">
      <c r="A615" t="inlineStr">
        <is>
          <t>ORD01694</t>
        </is>
      </c>
      <c r="B615" t="inlineStr">
        <is>
          <t>CUST0025</t>
        </is>
      </c>
      <c r="C615" t="inlineStr">
        <is>
          <t>PROD064</t>
        </is>
      </c>
      <c r="D615" t="inlineStr">
        <is>
          <t>STORE050</t>
        </is>
      </c>
      <c r="E615" t="inlineStr">
        <is>
          <t>DP022</t>
        </is>
      </c>
      <c r="F615" t="inlineStr">
        <is>
          <t>2025-01-30 14:54:00</t>
        </is>
      </c>
      <c r="G615" t="inlineStr">
        <is>
          <t>2025-01-30 15:16:00</t>
        </is>
      </c>
      <c r="H615" s="14" t="n">
        <v>3</v>
      </c>
      <c r="I615" s="13" t="n">
        <v>1479.09</v>
      </c>
      <c r="J615" s="13" t="n">
        <v>317.21</v>
      </c>
      <c r="K615" s="16" t="n">
        <v>22</v>
      </c>
      <c r="L615" t="inlineStr">
        <is>
          <t>Pending</t>
        </is>
      </c>
      <c r="M615" t="inlineStr">
        <is>
          <t>PAY02</t>
        </is>
      </c>
      <c r="N615" t="inlineStr">
        <is>
          <t>Afternoon</t>
        </is>
      </c>
      <c r="O615">
        <f>INDEX(Products_Catalog!$B$2:$B$151, MATCH(C615, Products_Catalog!$A$2:$A$151, 0))</f>
        <v/>
      </c>
      <c r="P615" s="13">
        <f>INDEX(Products_Catalog!$D$2:$D$151, MATCH(C615, Products_Catalog!$A$2:$A$151, 0))</f>
        <v/>
      </c>
      <c r="Q615" s="13">
        <f>I615-J615</f>
        <v/>
      </c>
      <c r="R615" s="15">
        <f>IF(K615&gt;20, "BREACH", "OK")</f>
        <v/>
      </c>
    </row>
    <row r="616">
      <c r="A616" t="inlineStr">
        <is>
          <t>ORD01695</t>
        </is>
      </c>
      <c r="B616" t="inlineStr">
        <is>
          <t>CUST0019</t>
        </is>
      </c>
      <c r="C616" t="inlineStr">
        <is>
          <t>PROD087</t>
        </is>
      </c>
      <c r="D616" t="inlineStr">
        <is>
          <t>STORE025</t>
        </is>
      </c>
      <c r="E616" t="inlineStr">
        <is>
          <t>DP012</t>
        </is>
      </c>
      <c r="F616" t="inlineStr">
        <is>
          <t>2025-02-28 08:08:00</t>
        </is>
      </c>
      <c r="G616" t="inlineStr">
        <is>
          <t>2025-02-28 08:31:00</t>
        </is>
      </c>
      <c r="H616" s="14" t="n">
        <v>2</v>
      </c>
      <c r="I616" s="13" t="n">
        <v>974.5</v>
      </c>
      <c r="J616" s="13" t="n">
        <v>188.62</v>
      </c>
      <c r="K616" s="16" t="n">
        <v>23</v>
      </c>
      <c r="L616" t="inlineStr">
        <is>
          <t>Cancelled</t>
        </is>
      </c>
      <c r="M616" t="inlineStr">
        <is>
          <t>PAY05</t>
        </is>
      </c>
      <c r="N616" t="inlineStr">
        <is>
          <t>Morning</t>
        </is>
      </c>
      <c r="O616">
        <f>INDEX(Products_Catalog!$B$2:$B$151, MATCH(C616, Products_Catalog!$A$2:$A$151, 0))</f>
        <v/>
      </c>
      <c r="P616" s="13">
        <f>INDEX(Products_Catalog!$D$2:$D$151, MATCH(C616, Products_Catalog!$A$2:$A$151, 0))</f>
        <v/>
      </c>
      <c r="Q616" s="13">
        <f>I616-J616</f>
        <v/>
      </c>
      <c r="R616" s="15">
        <f>IF(K616&gt;20, "BREACH", "OK")</f>
        <v/>
      </c>
    </row>
    <row r="617">
      <c r="A617" t="inlineStr">
        <is>
          <t>ORD01700</t>
        </is>
      </c>
      <c r="B617" t="inlineStr">
        <is>
          <t>CUST0029</t>
        </is>
      </c>
      <c r="C617" t="inlineStr">
        <is>
          <t>PROD063</t>
        </is>
      </c>
      <c r="D617" t="inlineStr">
        <is>
          <t>STORE039</t>
        </is>
      </c>
      <c r="E617" t="inlineStr">
        <is>
          <t>DP042</t>
        </is>
      </c>
      <c r="F617" t="inlineStr">
        <is>
          <t>2024-11-07 10:02:00</t>
        </is>
      </c>
      <c r="G617" t="inlineStr">
        <is>
          <t>2024-11-07 10:24:00</t>
        </is>
      </c>
      <c r="H617" s="14" t="n">
        <v>2</v>
      </c>
      <c r="I617" s="13" t="n">
        <v>795.08</v>
      </c>
      <c r="J617" s="13" t="n">
        <v>37.15</v>
      </c>
      <c r="K617" s="16" t="n">
        <v>22</v>
      </c>
      <c r="L617" t="inlineStr">
        <is>
          <t>Returned</t>
        </is>
      </c>
      <c r="M617" t="inlineStr">
        <is>
          <t>PAY03</t>
        </is>
      </c>
      <c r="N617" t="inlineStr">
        <is>
          <t>Morning</t>
        </is>
      </c>
      <c r="O617">
        <f>INDEX(Products_Catalog!$B$2:$B$151, MATCH(C617, Products_Catalog!$A$2:$A$151, 0))</f>
        <v/>
      </c>
      <c r="P617" s="13">
        <f>INDEX(Products_Catalog!$D$2:$D$151, MATCH(C617, Products_Catalog!$A$2:$A$151, 0))</f>
        <v/>
      </c>
      <c r="Q617" s="13">
        <f>I617-J617</f>
        <v/>
      </c>
      <c r="R617" s="15">
        <f>IF(K617&gt;20, "BREACH", "OK")</f>
        <v/>
      </c>
    </row>
    <row r="618">
      <c r="A618" t="inlineStr">
        <is>
          <t>ORD01701</t>
        </is>
      </c>
      <c r="B618" t="inlineStr">
        <is>
          <t>CUST0002</t>
        </is>
      </c>
      <c r="C618" t="inlineStr">
        <is>
          <t>PROD090</t>
        </is>
      </c>
      <c r="D618" t="inlineStr">
        <is>
          <t>STORE037</t>
        </is>
      </c>
      <c r="E618" t="inlineStr">
        <is>
          <t>DP035</t>
        </is>
      </c>
      <c r="F618" t="inlineStr">
        <is>
          <t>2024-08-05 08:20:00</t>
        </is>
      </c>
      <c r="G618" t="inlineStr">
        <is>
          <t>2024-08-05 08:43:00</t>
        </is>
      </c>
      <c r="H618" s="14" t="n">
        <v>1</v>
      </c>
      <c r="I618" s="13" t="n">
        <v>440.26</v>
      </c>
      <c r="J618" s="13" t="n">
        <v>37.62</v>
      </c>
      <c r="K618" s="16" t="n">
        <v>23</v>
      </c>
      <c r="L618" t="inlineStr">
        <is>
          <t>Delivered</t>
        </is>
      </c>
      <c r="M618" t="inlineStr">
        <is>
          <t>PAY02</t>
        </is>
      </c>
      <c r="N618" t="inlineStr">
        <is>
          <t>Morning</t>
        </is>
      </c>
      <c r="O618">
        <f>INDEX(Products_Catalog!$B$2:$B$151, MATCH(C618, Products_Catalog!$A$2:$A$151, 0))</f>
        <v/>
      </c>
      <c r="P618" s="13">
        <f>INDEX(Products_Catalog!$D$2:$D$151, MATCH(C618, Products_Catalog!$A$2:$A$151, 0))</f>
        <v/>
      </c>
      <c r="Q618" s="13">
        <f>I618-J618</f>
        <v/>
      </c>
      <c r="R618" s="15">
        <f>IF(K618&gt;20, "BREACH", "OK")</f>
        <v/>
      </c>
    </row>
    <row r="619">
      <c r="A619" t="inlineStr">
        <is>
          <t>ORD01702</t>
        </is>
      </c>
      <c r="B619" t="inlineStr">
        <is>
          <t>CUST0038</t>
        </is>
      </c>
      <c r="C619" t="inlineStr">
        <is>
          <t>PROD046</t>
        </is>
      </c>
      <c r="D619" t="inlineStr">
        <is>
          <t>STORE040</t>
        </is>
      </c>
      <c r="E619" t="inlineStr">
        <is>
          <t>DP040</t>
        </is>
      </c>
      <c r="F619" t="inlineStr">
        <is>
          <t>2024-03-28 10:30:00</t>
        </is>
      </c>
      <c r="G619" t="inlineStr">
        <is>
          <t>2024-03-28 10:54:00</t>
        </is>
      </c>
      <c r="H619" s="14" t="n">
        <v>4</v>
      </c>
      <c r="I619" s="13" t="n">
        <v>1313.88</v>
      </c>
      <c r="J619" s="13" t="n">
        <v>201.98</v>
      </c>
      <c r="K619" s="16" t="n">
        <v>24</v>
      </c>
      <c r="L619" t="inlineStr">
        <is>
          <t>Pending</t>
        </is>
      </c>
      <c r="M619" t="inlineStr">
        <is>
          <t>PAY04</t>
        </is>
      </c>
      <c r="N619" t="inlineStr">
        <is>
          <t>Morning</t>
        </is>
      </c>
      <c r="O619">
        <f>INDEX(Products_Catalog!$B$2:$B$151, MATCH(C619, Products_Catalog!$A$2:$A$151, 0))</f>
        <v/>
      </c>
      <c r="P619" s="13">
        <f>INDEX(Products_Catalog!$D$2:$D$151, MATCH(C619, Products_Catalog!$A$2:$A$151, 0))</f>
        <v/>
      </c>
      <c r="Q619" s="13">
        <f>I619-J619</f>
        <v/>
      </c>
      <c r="R619" s="15">
        <f>IF(K619&gt;20, "BREACH", "OK")</f>
        <v/>
      </c>
    </row>
    <row r="620">
      <c r="A620" t="inlineStr">
        <is>
          <t>ORD01703</t>
        </is>
      </c>
      <c r="B620" t="inlineStr">
        <is>
          <t>CUST0003</t>
        </is>
      </c>
      <c r="C620" t="inlineStr">
        <is>
          <t>PROD140</t>
        </is>
      </c>
      <c r="D620" t="inlineStr">
        <is>
          <t>STORE014</t>
        </is>
      </c>
      <c r="E620" t="inlineStr">
        <is>
          <t>DP050</t>
        </is>
      </c>
      <c r="F620" t="inlineStr">
        <is>
          <t>2024-03-13 11:10:00</t>
        </is>
      </c>
      <c r="G620" t="inlineStr">
        <is>
          <t>2024-03-13 11:35:00</t>
        </is>
      </c>
      <c r="H620" s="14" t="n">
        <v>10</v>
      </c>
      <c r="I620" s="13" t="n">
        <v>568.3</v>
      </c>
      <c r="J620" s="13" t="n">
        <v>153.83</v>
      </c>
      <c r="K620" s="16" t="n">
        <v>25</v>
      </c>
      <c r="L620" t="inlineStr">
        <is>
          <t>Delivered</t>
        </is>
      </c>
      <c r="M620" t="inlineStr">
        <is>
          <t>PAY05</t>
        </is>
      </c>
      <c r="N620" t="inlineStr">
        <is>
          <t>Morning</t>
        </is>
      </c>
      <c r="O620">
        <f>INDEX(Products_Catalog!$B$2:$B$151, MATCH(C620, Products_Catalog!$A$2:$A$151, 0))</f>
        <v/>
      </c>
      <c r="P620" s="13">
        <f>INDEX(Products_Catalog!$D$2:$D$151, MATCH(C620, Products_Catalog!$A$2:$A$151, 0))</f>
        <v/>
      </c>
      <c r="Q620" s="13">
        <f>I620-J620</f>
        <v/>
      </c>
      <c r="R620" s="15">
        <f>IF(K620&gt;20, "BREACH", "OK")</f>
        <v/>
      </c>
    </row>
    <row r="621">
      <c r="A621" t="inlineStr">
        <is>
          <t>ORD01704</t>
        </is>
      </c>
      <c r="B621" t="inlineStr">
        <is>
          <t>CUST0025</t>
        </is>
      </c>
      <c r="C621" t="inlineStr">
        <is>
          <t>PROD039</t>
        </is>
      </c>
      <c r="D621" t="inlineStr">
        <is>
          <t>STORE039</t>
        </is>
      </c>
      <c r="E621" t="inlineStr">
        <is>
          <t>DP045</t>
        </is>
      </c>
      <c r="F621" t="inlineStr">
        <is>
          <t>2025-03-10 14:14:00</t>
        </is>
      </c>
      <c r="G621" t="inlineStr">
        <is>
          <t>2025-03-10 14:40:00</t>
        </is>
      </c>
      <c r="H621" s="14" t="n">
        <v>3</v>
      </c>
      <c r="I621" s="13" t="n">
        <v>1010.88</v>
      </c>
      <c r="J621" s="13" t="n">
        <v>178.41</v>
      </c>
      <c r="K621" s="16" t="n">
        <v>26</v>
      </c>
      <c r="L621" t="inlineStr">
        <is>
          <t>Returned</t>
        </is>
      </c>
      <c r="M621" t="inlineStr">
        <is>
          <t>PAY04</t>
        </is>
      </c>
      <c r="N621" t="inlineStr">
        <is>
          <t>Afternoon</t>
        </is>
      </c>
      <c r="O621">
        <f>INDEX(Products_Catalog!$B$2:$B$151, MATCH(C621, Products_Catalog!$A$2:$A$151, 0))</f>
        <v/>
      </c>
      <c r="P621" s="13">
        <f>INDEX(Products_Catalog!$D$2:$D$151, MATCH(C621, Products_Catalog!$A$2:$A$151, 0))</f>
        <v/>
      </c>
      <c r="Q621" s="13">
        <f>I621-J621</f>
        <v/>
      </c>
      <c r="R621" s="15">
        <f>IF(K621&gt;20, "BREACH", "OK")</f>
        <v/>
      </c>
    </row>
    <row r="622">
      <c r="A622" t="inlineStr">
        <is>
          <t>ORD01705</t>
        </is>
      </c>
      <c r="B622" t="inlineStr">
        <is>
          <t>CUST0039</t>
        </is>
      </c>
      <c r="C622" t="inlineStr">
        <is>
          <t>PROD089</t>
        </is>
      </c>
      <c r="D622" t="inlineStr">
        <is>
          <t>STORE008</t>
        </is>
      </c>
      <c r="E622" t="inlineStr">
        <is>
          <t>DP041</t>
        </is>
      </c>
      <c r="F622" t="inlineStr">
        <is>
          <t>2025-06-25 18:33:00</t>
        </is>
      </c>
      <c r="G622" t="inlineStr">
        <is>
          <t>2025-06-25 19:00:00</t>
        </is>
      </c>
      <c r="H622" s="14" t="n">
        <v>5</v>
      </c>
      <c r="I622" s="13" t="n">
        <v>559.8</v>
      </c>
      <c r="J622" s="13" t="n">
        <v>146.12</v>
      </c>
      <c r="K622" s="16" t="n">
        <v>27</v>
      </c>
      <c r="L622" t="inlineStr">
        <is>
          <t>Cancelled</t>
        </is>
      </c>
      <c r="M622" t="inlineStr">
        <is>
          <t>PAY02</t>
        </is>
      </c>
      <c r="N622" t="inlineStr">
        <is>
          <t>Evening</t>
        </is>
      </c>
      <c r="O622">
        <f>INDEX(Products_Catalog!$B$2:$B$151, MATCH(C622, Products_Catalog!$A$2:$A$151, 0))</f>
        <v/>
      </c>
      <c r="P622" s="13">
        <f>INDEX(Products_Catalog!$D$2:$D$151, MATCH(C622, Products_Catalog!$A$2:$A$151, 0))</f>
        <v/>
      </c>
      <c r="Q622" s="13">
        <f>I622-J622</f>
        <v/>
      </c>
      <c r="R622" s="15">
        <f>IF(K622&gt;20, "BREACH", "OK")</f>
        <v/>
      </c>
    </row>
    <row r="623">
      <c r="A623" t="inlineStr">
        <is>
          <t>ORD01706</t>
        </is>
      </c>
      <c r="B623" t="inlineStr">
        <is>
          <t>CUST0043</t>
        </is>
      </c>
      <c r="C623" t="inlineStr">
        <is>
          <t>PROD045</t>
        </is>
      </c>
      <c r="D623" t="inlineStr">
        <is>
          <t>STORE027</t>
        </is>
      </c>
      <c r="E623" t="inlineStr">
        <is>
          <t>DP021</t>
        </is>
      </c>
      <c r="F623" t="inlineStr">
        <is>
          <t>2024-10-26 14:25:00</t>
        </is>
      </c>
      <c r="G623" t="inlineStr">
        <is>
          <t>2024-10-26 14:53:00</t>
        </is>
      </c>
      <c r="H623" s="14" t="n">
        <v>9</v>
      </c>
      <c r="I623" s="13" t="n">
        <v>2418.66</v>
      </c>
      <c r="J623" s="13" t="n">
        <v>151.48</v>
      </c>
      <c r="K623" s="16" t="n">
        <v>28</v>
      </c>
      <c r="L623" t="inlineStr">
        <is>
          <t>Pending</t>
        </is>
      </c>
      <c r="M623" t="inlineStr">
        <is>
          <t>PAY04</t>
        </is>
      </c>
      <c r="N623" t="inlineStr">
        <is>
          <t>Afternoon</t>
        </is>
      </c>
      <c r="O623">
        <f>INDEX(Products_Catalog!$B$2:$B$151, MATCH(C623, Products_Catalog!$A$2:$A$151, 0))</f>
        <v/>
      </c>
      <c r="P623" s="13">
        <f>INDEX(Products_Catalog!$D$2:$D$151, MATCH(C623, Products_Catalog!$A$2:$A$151, 0))</f>
        <v/>
      </c>
      <c r="Q623" s="13">
        <f>I623-J623</f>
        <v/>
      </c>
      <c r="R623" s="15">
        <f>IF(K623&gt;20, "BREACH", "OK")</f>
        <v/>
      </c>
    </row>
    <row r="624">
      <c r="A624" t="inlineStr">
        <is>
          <t>ORD01707</t>
        </is>
      </c>
      <c r="B624" t="inlineStr">
        <is>
          <t>CUST0036</t>
        </is>
      </c>
      <c r="C624" t="inlineStr">
        <is>
          <t>PROD044</t>
        </is>
      </c>
      <c r="D624" t="inlineStr">
        <is>
          <t>STORE023</t>
        </is>
      </c>
      <c r="E624" t="inlineStr">
        <is>
          <t>DP011</t>
        </is>
      </c>
      <c r="F624" t="inlineStr">
        <is>
          <t>2024-11-22 17:17:00</t>
        </is>
      </c>
      <c r="G624" t="inlineStr">
        <is>
          <t>2024-11-22 17:46:00</t>
        </is>
      </c>
      <c r="H624" s="14" t="n">
        <v>5</v>
      </c>
      <c r="I624" s="13" t="n">
        <v>1061.2</v>
      </c>
      <c r="J624" s="13" t="n">
        <v>79.58</v>
      </c>
      <c r="K624" s="16" t="n">
        <v>29</v>
      </c>
      <c r="L624" t="inlineStr">
        <is>
          <t>Pending</t>
        </is>
      </c>
      <c r="M624" t="inlineStr">
        <is>
          <t>PAY01</t>
        </is>
      </c>
      <c r="N624" t="inlineStr">
        <is>
          <t>Evening</t>
        </is>
      </c>
      <c r="O624">
        <f>INDEX(Products_Catalog!$B$2:$B$151, MATCH(C624, Products_Catalog!$A$2:$A$151, 0))</f>
        <v/>
      </c>
      <c r="P624" s="13">
        <f>INDEX(Products_Catalog!$D$2:$D$151, MATCH(C624, Products_Catalog!$A$2:$A$151, 0))</f>
        <v/>
      </c>
      <c r="Q624" s="13">
        <f>I624-J624</f>
        <v/>
      </c>
      <c r="R624" s="15">
        <f>IF(K624&gt;20, "BREACH", "OK")</f>
        <v/>
      </c>
    </row>
    <row r="625">
      <c r="A625" t="inlineStr">
        <is>
          <t>ORD01708</t>
        </is>
      </c>
      <c r="B625" t="inlineStr">
        <is>
          <t>CUST0018</t>
        </is>
      </c>
      <c r="C625" t="inlineStr">
        <is>
          <t>PROD117</t>
        </is>
      </c>
      <c r="D625" t="inlineStr">
        <is>
          <t>STORE001</t>
        </is>
      </c>
      <c r="E625" t="inlineStr">
        <is>
          <t>DP038</t>
        </is>
      </c>
      <c r="F625" t="inlineStr">
        <is>
          <t>2025-05-28 12:07:00</t>
        </is>
      </c>
      <c r="G625" t="inlineStr">
        <is>
          <t>2025-05-28 12:37:00</t>
        </is>
      </c>
      <c r="H625" s="14" t="n">
        <v>3</v>
      </c>
      <c r="I625" s="13" t="n">
        <v>191.46</v>
      </c>
      <c r="J625" s="13" t="n">
        <v>11.62</v>
      </c>
      <c r="K625" s="16" t="n">
        <v>30</v>
      </c>
      <c r="L625" t="inlineStr">
        <is>
          <t>Returned</t>
        </is>
      </c>
      <c r="M625" t="inlineStr">
        <is>
          <t>PAY05</t>
        </is>
      </c>
      <c r="N625" t="inlineStr">
        <is>
          <t>Afternoon</t>
        </is>
      </c>
      <c r="O625">
        <f>INDEX(Products_Catalog!$B$2:$B$151, MATCH(C625, Products_Catalog!$A$2:$A$151, 0))</f>
        <v/>
      </c>
      <c r="P625" s="13">
        <f>INDEX(Products_Catalog!$D$2:$D$151, MATCH(C625, Products_Catalog!$A$2:$A$151, 0))</f>
        <v/>
      </c>
      <c r="Q625" s="13">
        <f>I625-J625</f>
        <v/>
      </c>
      <c r="R625" s="15">
        <f>IF(K625&gt;20, "BREACH", "OK")</f>
        <v/>
      </c>
    </row>
    <row r="626">
      <c r="A626" t="inlineStr">
        <is>
          <t>ORD01710</t>
        </is>
      </c>
      <c r="B626" t="inlineStr">
        <is>
          <t>CUST0028</t>
        </is>
      </c>
      <c r="C626" t="inlineStr">
        <is>
          <t>PROD150</t>
        </is>
      </c>
      <c r="D626" t="inlineStr">
        <is>
          <t>STORE026</t>
        </is>
      </c>
      <c r="E626" t="inlineStr">
        <is>
          <t>DP003</t>
        </is>
      </c>
      <c r="F626" t="inlineStr">
        <is>
          <t>2025-05-30 11:59:00</t>
        </is>
      </c>
      <c r="G626" t="inlineStr">
        <is>
          <t>2025-05-30 12:20:00</t>
        </is>
      </c>
      <c r="H626" s="14" t="n">
        <v>3</v>
      </c>
      <c r="I626" s="13" t="n">
        <v>1349.76</v>
      </c>
      <c r="J626" s="13" t="n">
        <v>93.47</v>
      </c>
      <c r="K626" s="16" t="n">
        <v>21</v>
      </c>
      <c r="L626" t="inlineStr">
        <is>
          <t>Delivered</t>
        </is>
      </c>
      <c r="M626" t="inlineStr">
        <is>
          <t>PAY03</t>
        </is>
      </c>
      <c r="N626" t="inlineStr">
        <is>
          <t>Morning</t>
        </is>
      </c>
      <c r="O626">
        <f>INDEX(Products_Catalog!$B$2:$B$151, MATCH(C626, Products_Catalog!$A$2:$A$151, 0))</f>
        <v/>
      </c>
      <c r="P626" s="13">
        <f>INDEX(Products_Catalog!$D$2:$D$151, MATCH(C626, Products_Catalog!$A$2:$A$151, 0))</f>
        <v/>
      </c>
      <c r="Q626" s="13">
        <f>I626-J626</f>
        <v/>
      </c>
      <c r="R626" s="15">
        <f>IF(K626&gt;20, "BREACH", "OK")</f>
        <v/>
      </c>
    </row>
    <row r="627">
      <c r="A627" t="inlineStr">
        <is>
          <t>ORD01711</t>
        </is>
      </c>
      <c r="B627" t="inlineStr">
        <is>
          <t>CUST0049</t>
        </is>
      </c>
      <c r="C627" t="inlineStr">
        <is>
          <t>PROD105</t>
        </is>
      </c>
      <c r="D627" t="inlineStr">
        <is>
          <t>STORE040</t>
        </is>
      </c>
      <c r="E627" t="inlineStr">
        <is>
          <t>DP046</t>
        </is>
      </c>
      <c r="F627" t="inlineStr">
        <is>
          <t>2025-03-19 09:29:00</t>
        </is>
      </c>
      <c r="G627" t="inlineStr">
        <is>
          <t>2025-03-19 09:41:00</t>
        </is>
      </c>
      <c r="H627" s="14" t="n">
        <v>8</v>
      </c>
      <c r="I627" s="13" t="n">
        <v>3636.88</v>
      </c>
      <c r="J627" s="13" t="n">
        <v>758.5599999999999</v>
      </c>
      <c r="K627" s="16" t="n">
        <v>12</v>
      </c>
      <c r="L627" t="inlineStr">
        <is>
          <t>Shipped</t>
        </is>
      </c>
      <c r="M627" t="inlineStr">
        <is>
          <t>PAY05</t>
        </is>
      </c>
      <c r="N627" t="inlineStr">
        <is>
          <t>Morning</t>
        </is>
      </c>
      <c r="O627">
        <f>INDEX(Products_Catalog!$B$2:$B$151, MATCH(C627, Products_Catalog!$A$2:$A$151, 0))</f>
        <v/>
      </c>
      <c r="P627" s="13">
        <f>INDEX(Products_Catalog!$D$2:$D$151, MATCH(C627, Products_Catalog!$A$2:$A$151, 0))</f>
        <v/>
      </c>
      <c r="Q627" s="13">
        <f>I627-J627</f>
        <v/>
      </c>
      <c r="R627" s="15">
        <f>IF(K627&gt;20, "BREACH", "OK")</f>
        <v/>
      </c>
    </row>
    <row r="628">
      <c r="A628" t="inlineStr">
        <is>
          <t>ORD01712</t>
        </is>
      </c>
      <c r="B628" t="inlineStr">
        <is>
          <t>CUST0001</t>
        </is>
      </c>
      <c r="C628" t="inlineStr">
        <is>
          <t>PROD127</t>
        </is>
      </c>
      <c r="D628" t="inlineStr">
        <is>
          <t>STORE014</t>
        </is>
      </c>
      <c r="E628" t="inlineStr">
        <is>
          <t>DP018</t>
        </is>
      </c>
      <c r="F628" t="inlineStr">
        <is>
          <t>2024-03-08 08:57:00</t>
        </is>
      </c>
      <c r="G628" t="inlineStr">
        <is>
          <t>2024-03-08 09:20:00</t>
        </is>
      </c>
      <c r="H628" s="14" t="n">
        <v>3</v>
      </c>
      <c r="I628" s="13" t="n">
        <v>1269.6</v>
      </c>
      <c r="J628" s="13" t="n">
        <v>96.69</v>
      </c>
      <c r="K628" s="16" t="n">
        <v>23</v>
      </c>
      <c r="L628" t="inlineStr">
        <is>
          <t>Returned</t>
        </is>
      </c>
      <c r="M628" t="inlineStr">
        <is>
          <t>PAY02</t>
        </is>
      </c>
      <c r="N628" t="inlineStr">
        <is>
          <t>Morning</t>
        </is>
      </c>
      <c r="O628">
        <f>INDEX(Products_Catalog!$B$2:$B$151, MATCH(C628, Products_Catalog!$A$2:$A$151, 0))</f>
        <v/>
      </c>
      <c r="P628" s="13">
        <f>INDEX(Products_Catalog!$D$2:$D$151, MATCH(C628, Products_Catalog!$A$2:$A$151, 0))</f>
        <v/>
      </c>
      <c r="Q628" s="13">
        <f>I628-J628</f>
        <v/>
      </c>
      <c r="R628" s="15">
        <f>IF(K628&gt;20, "BREACH", "OK")</f>
        <v/>
      </c>
    </row>
    <row r="629">
      <c r="A629" t="inlineStr">
        <is>
          <t>ORD01713</t>
        </is>
      </c>
      <c r="B629" t="inlineStr">
        <is>
          <t>CUST0005</t>
        </is>
      </c>
      <c r="C629" t="inlineStr">
        <is>
          <t>PROD094</t>
        </is>
      </c>
      <c r="D629" t="inlineStr">
        <is>
          <t>STORE031</t>
        </is>
      </c>
      <c r="E629" t="inlineStr">
        <is>
          <t>DP003</t>
        </is>
      </c>
      <c r="F629" t="inlineStr">
        <is>
          <t>2024-08-25 20:16:00</t>
        </is>
      </c>
      <c r="G629" t="inlineStr">
        <is>
          <t>2024-08-25 20:30:00</t>
        </is>
      </c>
      <c r="H629" s="14" t="n">
        <v>7</v>
      </c>
      <c r="I629" s="13" t="n">
        <v>3265.64</v>
      </c>
      <c r="J629" s="13" t="n">
        <v>889.64</v>
      </c>
      <c r="K629" s="16" t="n">
        <v>14</v>
      </c>
      <c r="L629" t="inlineStr">
        <is>
          <t>Returned</t>
        </is>
      </c>
      <c r="M629" t="inlineStr">
        <is>
          <t>PAY03</t>
        </is>
      </c>
      <c r="N629" t="inlineStr">
        <is>
          <t>Evening</t>
        </is>
      </c>
      <c r="O629">
        <f>INDEX(Products_Catalog!$B$2:$B$151, MATCH(C629, Products_Catalog!$A$2:$A$151, 0))</f>
        <v/>
      </c>
      <c r="P629" s="13">
        <f>INDEX(Products_Catalog!$D$2:$D$151, MATCH(C629, Products_Catalog!$A$2:$A$151, 0))</f>
        <v/>
      </c>
      <c r="Q629" s="13">
        <f>I629-J629</f>
        <v/>
      </c>
      <c r="R629" s="15">
        <f>IF(K629&gt;20, "BREACH", "OK")</f>
        <v/>
      </c>
    </row>
    <row r="630">
      <c r="A630" t="inlineStr">
        <is>
          <t>ORD01714</t>
        </is>
      </c>
      <c r="B630" t="inlineStr">
        <is>
          <t>CUST0040</t>
        </is>
      </c>
      <c r="C630" t="inlineStr">
        <is>
          <t>PROD107</t>
        </is>
      </c>
      <c r="D630" t="inlineStr">
        <is>
          <t>STORE001</t>
        </is>
      </c>
      <c r="E630" t="inlineStr">
        <is>
          <t>DP041</t>
        </is>
      </c>
      <c r="F630" t="inlineStr">
        <is>
          <t>2024-07-26 10:23:00</t>
        </is>
      </c>
      <c r="G630" t="inlineStr">
        <is>
          <t>2024-07-26 10:48:00</t>
        </is>
      </c>
      <c r="H630" s="14" t="n">
        <v>1</v>
      </c>
      <c r="I630" s="13" t="n">
        <v>441.91</v>
      </c>
      <c r="J630" s="13" t="n">
        <v>0.03</v>
      </c>
      <c r="K630" s="16" t="n">
        <v>25</v>
      </c>
      <c r="L630" t="inlineStr">
        <is>
          <t>Cancelled</t>
        </is>
      </c>
      <c r="M630" t="inlineStr">
        <is>
          <t>PAY03</t>
        </is>
      </c>
      <c r="N630" t="inlineStr">
        <is>
          <t>Morning</t>
        </is>
      </c>
      <c r="O630">
        <f>INDEX(Products_Catalog!$B$2:$B$151, MATCH(C630, Products_Catalog!$A$2:$A$151, 0))</f>
        <v/>
      </c>
      <c r="P630" s="13">
        <f>INDEX(Products_Catalog!$D$2:$D$151, MATCH(C630, Products_Catalog!$A$2:$A$151, 0))</f>
        <v/>
      </c>
      <c r="Q630" s="13">
        <f>I630-J630</f>
        <v/>
      </c>
      <c r="R630" s="15">
        <f>IF(K630&gt;20, "BREACH", "OK")</f>
        <v/>
      </c>
    </row>
    <row r="631">
      <c r="A631" t="inlineStr">
        <is>
          <t>ORD01716</t>
        </is>
      </c>
      <c r="B631" t="inlineStr">
        <is>
          <t>CUST0034</t>
        </is>
      </c>
      <c r="C631" t="inlineStr">
        <is>
          <t>PROD140</t>
        </is>
      </c>
      <c r="D631" t="inlineStr">
        <is>
          <t>STORE016</t>
        </is>
      </c>
      <c r="E631" t="inlineStr">
        <is>
          <t>DP005</t>
        </is>
      </c>
      <c r="F631" t="inlineStr">
        <is>
          <t>2024-12-19 17:26:00</t>
        </is>
      </c>
      <c r="G631" t="inlineStr">
        <is>
          <t>2024-12-19 17:43:00</t>
        </is>
      </c>
      <c r="H631" s="14" t="n">
        <v>10</v>
      </c>
      <c r="I631" s="13" t="n">
        <v>826.2</v>
      </c>
      <c r="J631" s="13" t="n">
        <v>82.97</v>
      </c>
      <c r="K631" s="16" t="n">
        <v>17</v>
      </c>
      <c r="L631" t="inlineStr">
        <is>
          <t>Returned</t>
        </is>
      </c>
      <c r="M631" t="inlineStr">
        <is>
          <t>PAY03</t>
        </is>
      </c>
      <c r="N631" t="inlineStr">
        <is>
          <t>Evening</t>
        </is>
      </c>
      <c r="O631">
        <f>INDEX(Products_Catalog!$B$2:$B$151, MATCH(C631, Products_Catalog!$A$2:$A$151, 0))</f>
        <v/>
      </c>
      <c r="P631" s="13">
        <f>INDEX(Products_Catalog!$D$2:$D$151, MATCH(C631, Products_Catalog!$A$2:$A$151, 0))</f>
        <v/>
      </c>
      <c r="Q631" s="13">
        <f>I631-J631</f>
        <v/>
      </c>
      <c r="R631" s="15">
        <f>IF(K631&gt;20, "BREACH", "OK")</f>
        <v/>
      </c>
    </row>
    <row r="632">
      <c r="A632" t="inlineStr">
        <is>
          <t>ORD01717</t>
        </is>
      </c>
      <c r="B632" t="inlineStr">
        <is>
          <t>CUST0023</t>
        </is>
      </c>
      <c r="C632" t="inlineStr">
        <is>
          <t>PROD073</t>
        </is>
      </c>
      <c r="D632" t="inlineStr">
        <is>
          <t>STORE037</t>
        </is>
      </c>
      <c r="E632" t="inlineStr">
        <is>
          <t>DP049</t>
        </is>
      </c>
      <c r="F632" t="inlineStr">
        <is>
          <t>2024-02-23 14:23:00</t>
        </is>
      </c>
      <c r="G632" t="inlineStr">
        <is>
          <t>2024-02-23 14:41:00</t>
        </is>
      </c>
      <c r="H632" s="14" t="n">
        <v>9</v>
      </c>
      <c r="I632" s="13" t="n">
        <v>1990.53</v>
      </c>
      <c r="J632" s="13" t="n">
        <v>98.09</v>
      </c>
      <c r="K632" s="16" t="n">
        <v>18</v>
      </c>
      <c r="L632" t="inlineStr">
        <is>
          <t>Shipped</t>
        </is>
      </c>
      <c r="M632" t="inlineStr">
        <is>
          <t>PAY02</t>
        </is>
      </c>
      <c r="N632" t="inlineStr">
        <is>
          <t>Afternoon</t>
        </is>
      </c>
      <c r="O632">
        <f>INDEX(Products_Catalog!$B$2:$B$151, MATCH(C632, Products_Catalog!$A$2:$A$151, 0))</f>
        <v/>
      </c>
      <c r="P632" s="13">
        <f>INDEX(Products_Catalog!$D$2:$D$151, MATCH(C632, Products_Catalog!$A$2:$A$151, 0))</f>
        <v/>
      </c>
      <c r="Q632" s="13">
        <f>I632-J632</f>
        <v/>
      </c>
      <c r="R632" s="15">
        <f>IF(K632&gt;20, "BREACH", "OK")</f>
        <v/>
      </c>
    </row>
    <row r="633">
      <c r="A633" t="inlineStr">
        <is>
          <t>ORD01719</t>
        </is>
      </c>
      <c r="B633" t="inlineStr">
        <is>
          <t>CUST0015</t>
        </is>
      </c>
      <c r="C633" t="inlineStr">
        <is>
          <t>PROD144</t>
        </is>
      </c>
      <c r="D633" t="inlineStr">
        <is>
          <t>STORE003</t>
        </is>
      </c>
      <c r="E633" t="inlineStr">
        <is>
          <t>DP023</t>
        </is>
      </c>
      <c r="F633" t="inlineStr">
        <is>
          <t>2024-01-31 17:34:00</t>
        </is>
      </c>
      <c r="G633" t="inlineStr">
        <is>
          <t>2024-01-31 17:54:00</t>
        </is>
      </c>
      <c r="H633" s="14" t="n">
        <v>10</v>
      </c>
      <c r="I633" s="13" t="n">
        <v>659.4</v>
      </c>
      <c r="J633" s="13" t="n">
        <v>72.94</v>
      </c>
      <c r="K633" s="16" t="n">
        <v>20</v>
      </c>
      <c r="L633" t="inlineStr">
        <is>
          <t>Pending</t>
        </is>
      </c>
      <c r="M633" t="inlineStr">
        <is>
          <t>PAY02</t>
        </is>
      </c>
      <c r="N633" t="inlineStr">
        <is>
          <t>Evening</t>
        </is>
      </c>
      <c r="O633">
        <f>INDEX(Products_Catalog!$B$2:$B$151, MATCH(C633, Products_Catalog!$A$2:$A$151, 0))</f>
        <v/>
      </c>
      <c r="P633" s="13">
        <f>INDEX(Products_Catalog!$D$2:$D$151, MATCH(C633, Products_Catalog!$A$2:$A$151, 0))</f>
        <v/>
      </c>
      <c r="Q633" s="13">
        <f>I633-J633</f>
        <v/>
      </c>
      <c r="R633" s="15">
        <f>IF(K633&gt;20, "BREACH", "OK")</f>
        <v/>
      </c>
    </row>
    <row r="634">
      <c r="A634" t="inlineStr">
        <is>
          <t>ORD01721</t>
        </is>
      </c>
      <c r="B634" t="inlineStr">
        <is>
          <t>CUST0011</t>
        </is>
      </c>
      <c r="C634" t="inlineStr">
        <is>
          <t>PROD001</t>
        </is>
      </c>
      <c r="D634" t="inlineStr">
        <is>
          <t>STORE046</t>
        </is>
      </c>
      <c r="E634" t="inlineStr">
        <is>
          <t>DP030</t>
        </is>
      </c>
      <c r="F634" t="inlineStr">
        <is>
          <t>2025-06-07 12:57:00</t>
        </is>
      </c>
      <c r="G634" t="inlineStr">
        <is>
          <t>2025-06-07 13:19:00</t>
        </is>
      </c>
      <c r="H634" s="14" t="n">
        <v>3</v>
      </c>
      <c r="I634" s="13" t="n">
        <v>1043.61</v>
      </c>
      <c r="J634" s="13" t="n">
        <v>181.52</v>
      </c>
      <c r="K634" s="16" t="n">
        <v>22</v>
      </c>
      <c r="L634" t="inlineStr">
        <is>
          <t>Delivered</t>
        </is>
      </c>
      <c r="M634" t="inlineStr">
        <is>
          <t>PAY01</t>
        </is>
      </c>
      <c r="N634" t="inlineStr">
        <is>
          <t>Afternoon</t>
        </is>
      </c>
      <c r="O634">
        <f>INDEX(Products_Catalog!$B$2:$B$151, MATCH(C634, Products_Catalog!$A$2:$A$151, 0))</f>
        <v/>
      </c>
      <c r="P634" s="13">
        <f>INDEX(Products_Catalog!$D$2:$D$151, MATCH(C634, Products_Catalog!$A$2:$A$151, 0))</f>
        <v/>
      </c>
      <c r="Q634" s="13">
        <f>I634-J634</f>
        <v/>
      </c>
      <c r="R634" s="15">
        <f>IF(K634&gt;20, "BREACH", "OK")</f>
        <v/>
      </c>
    </row>
    <row r="635">
      <c r="A635" t="inlineStr">
        <is>
          <t>ORD01722</t>
        </is>
      </c>
      <c r="B635" t="inlineStr">
        <is>
          <t>CUST0042</t>
        </is>
      </c>
      <c r="C635" t="inlineStr">
        <is>
          <t>PROD041</t>
        </is>
      </c>
      <c r="D635" t="inlineStr">
        <is>
          <t>STORE014</t>
        </is>
      </c>
      <c r="E635" t="inlineStr">
        <is>
          <t>DP037</t>
        </is>
      </c>
      <c r="F635" t="inlineStr">
        <is>
          <t>2025-05-18 11:10:00</t>
        </is>
      </c>
      <c r="G635" t="inlineStr">
        <is>
          <t>2025-05-18 11:33:00</t>
        </is>
      </c>
      <c r="H635" s="14" t="n">
        <v>10</v>
      </c>
      <c r="I635" s="13" t="n">
        <v>3453.1</v>
      </c>
      <c r="J635" s="13" t="n">
        <v>62.6</v>
      </c>
      <c r="K635" s="16" t="n">
        <v>23</v>
      </c>
      <c r="L635" t="inlineStr">
        <is>
          <t>Pending</t>
        </is>
      </c>
      <c r="M635" t="inlineStr">
        <is>
          <t>PAY05</t>
        </is>
      </c>
      <c r="N635" t="inlineStr">
        <is>
          <t>Morning</t>
        </is>
      </c>
      <c r="O635">
        <f>INDEX(Products_Catalog!$B$2:$B$151, MATCH(C635, Products_Catalog!$A$2:$A$151, 0))</f>
        <v/>
      </c>
      <c r="P635" s="13">
        <f>INDEX(Products_Catalog!$D$2:$D$151, MATCH(C635, Products_Catalog!$A$2:$A$151, 0))</f>
        <v/>
      </c>
      <c r="Q635" s="13">
        <f>I635-J635</f>
        <v/>
      </c>
      <c r="R635" s="15">
        <f>IF(K635&gt;20, "BREACH", "OK")</f>
        <v/>
      </c>
    </row>
    <row r="636">
      <c r="A636" t="inlineStr">
        <is>
          <t>ORD01724</t>
        </is>
      </c>
      <c r="B636" t="inlineStr">
        <is>
          <t>CUST0034</t>
        </is>
      </c>
      <c r="C636" t="inlineStr">
        <is>
          <t>PROD017</t>
        </is>
      </c>
      <c r="D636" t="inlineStr">
        <is>
          <t>STORE036</t>
        </is>
      </c>
      <c r="E636" t="inlineStr">
        <is>
          <t>DP046</t>
        </is>
      </c>
      <c r="F636" t="inlineStr">
        <is>
          <t>2025-02-10 07:35:00</t>
        </is>
      </c>
      <c r="G636" t="inlineStr">
        <is>
          <t>2025-02-10 08:00:00</t>
        </is>
      </c>
      <c r="H636" s="14" t="n">
        <v>6</v>
      </c>
      <c r="I636" s="13" t="n">
        <v>1230.36</v>
      </c>
      <c r="J636" s="13" t="n">
        <v>225.93</v>
      </c>
      <c r="K636" s="16" t="n">
        <v>25</v>
      </c>
      <c r="L636" t="inlineStr">
        <is>
          <t>Cancelled</t>
        </is>
      </c>
      <c r="M636" t="inlineStr">
        <is>
          <t>PAY04</t>
        </is>
      </c>
      <c r="N636" t="inlineStr">
        <is>
          <t>Morning</t>
        </is>
      </c>
      <c r="O636">
        <f>INDEX(Products_Catalog!$B$2:$B$151, MATCH(C636, Products_Catalog!$A$2:$A$151, 0))</f>
        <v/>
      </c>
      <c r="P636" s="13">
        <f>INDEX(Products_Catalog!$D$2:$D$151, MATCH(C636, Products_Catalog!$A$2:$A$151, 0))</f>
        <v/>
      </c>
      <c r="Q636" s="13">
        <f>I636-J636</f>
        <v/>
      </c>
      <c r="R636" s="15">
        <f>IF(K636&gt;20, "BREACH", "OK")</f>
        <v/>
      </c>
    </row>
    <row r="637">
      <c r="A637" t="inlineStr">
        <is>
          <t>ORD01725</t>
        </is>
      </c>
      <c r="B637" t="inlineStr">
        <is>
          <t>CUST0045</t>
        </is>
      </c>
      <c r="C637" t="inlineStr">
        <is>
          <t>PROD022</t>
        </is>
      </c>
      <c r="D637" t="inlineStr">
        <is>
          <t>STORE023</t>
        </is>
      </c>
      <c r="E637" t="inlineStr">
        <is>
          <t>DP010</t>
        </is>
      </c>
      <c r="F637" t="inlineStr">
        <is>
          <t>2024-05-28 14:05:00</t>
        </is>
      </c>
      <c r="G637" t="inlineStr">
        <is>
          <t>2024-05-28 14:31:00</t>
        </is>
      </c>
      <c r="H637" s="14" t="n">
        <v>7</v>
      </c>
      <c r="I637" s="13" t="n">
        <v>3340.47</v>
      </c>
      <c r="J637" s="13" t="n">
        <v>979.66</v>
      </c>
      <c r="K637" s="16" t="n">
        <v>26</v>
      </c>
      <c r="L637" t="inlineStr">
        <is>
          <t>Pending</t>
        </is>
      </c>
      <c r="M637" t="inlineStr">
        <is>
          <t>PAY04</t>
        </is>
      </c>
      <c r="N637" t="inlineStr">
        <is>
          <t>Afternoon</t>
        </is>
      </c>
      <c r="O637">
        <f>INDEX(Products_Catalog!$B$2:$B$151, MATCH(C637, Products_Catalog!$A$2:$A$151, 0))</f>
        <v/>
      </c>
      <c r="P637" s="13">
        <f>INDEX(Products_Catalog!$D$2:$D$151, MATCH(C637, Products_Catalog!$A$2:$A$151, 0))</f>
        <v/>
      </c>
      <c r="Q637" s="13">
        <f>I637-J637</f>
        <v/>
      </c>
      <c r="R637" s="15">
        <f>IF(K637&gt;20, "BREACH", "OK")</f>
        <v/>
      </c>
    </row>
    <row r="638">
      <c r="A638" t="inlineStr">
        <is>
          <t>ORD01726</t>
        </is>
      </c>
      <c r="B638" t="inlineStr">
        <is>
          <t>CUST0009</t>
        </is>
      </c>
      <c r="C638" t="inlineStr">
        <is>
          <t>PROD014</t>
        </is>
      </c>
      <c r="D638" t="inlineStr">
        <is>
          <t>STORE019</t>
        </is>
      </c>
      <c r="E638" t="inlineStr">
        <is>
          <t>DP032</t>
        </is>
      </c>
      <c r="F638" t="inlineStr">
        <is>
          <t>2024-12-30 14:01:00</t>
        </is>
      </c>
      <c r="G638" t="inlineStr">
        <is>
          <t>2024-12-30 14:18:00</t>
        </is>
      </c>
      <c r="H638" s="14" t="n">
        <v>9</v>
      </c>
      <c r="I638" s="13" t="n">
        <v>4333.32</v>
      </c>
      <c r="J638" s="13" t="n">
        <v>1250.89</v>
      </c>
      <c r="K638" s="16" t="n">
        <v>17</v>
      </c>
      <c r="L638" t="inlineStr">
        <is>
          <t>Shipped</t>
        </is>
      </c>
      <c r="M638" t="inlineStr">
        <is>
          <t>PAY05</t>
        </is>
      </c>
      <c r="N638" t="inlineStr">
        <is>
          <t>Afternoon</t>
        </is>
      </c>
      <c r="O638">
        <f>INDEX(Products_Catalog!$B$2:$B$151, MATCH(C638, Products_Catalog!$A$2:$A$151, 0))</f>
        <v/>
      </c>
      <c r="P638" s="13">
        <f>INDEX(Products_Catalog!$D$2:$D$151, MATCH(C638, Products_Catalog!$A$2:$A$151, 0))</f>
        <v/>
      </c>
      <c r="Q638" s="13">
        <f>I638-J638</f>
        <v/>
      </c>
      <c r="R638" s="15">
        <f>IF(K638&gt;20, "BREACH", "OK")</f>
        <v/>
      </c>
    </row>
    <row r="639">
      <c r="A639" t="inlineStr">
        <is>
          <t>ORD01727</t>
        </is>
      </c>
      <c r="B639" t="inlineStr">
        <is>
          <t>CUST0049</t>
        </is>
      </c>
      <c r="C639" t="inlineStr">
        <is>
          <t>PROD023</t>
        </is>
      </c>
      <c r="D639" t="inlineStr">
        <is>
          <t>STORE002</t>
        </is>
      </c>
      <c r="E639" t="inlineStr">
        <is>
          <t>DP006</t>
        </is>
      </c>
      <c r="F639" t="inlineStr">
        <is>
          <t>2024-05-15 15:47:00</t>
        </is>
      </c>
      <c r="G639" t="inlineStr">
        <is>
          <t>2024-05-15 16:05:00</t>
        </is>
      </c>
      <c r="H639" s="14" t="n">
        <v>5</v>
      </c>
      <c r="I639" s="13" t="n">
        <v>1948.55</v>
      </c>
      <c r="J639" s="13" t="n">
        <v>565.41</v>
      </c>
      <c r="K639" s="16" t="n">
        <v>18</v>
      </c>
      <c r="L639" t="inlineStr">
        <is>
          <t>Cancelled</t>
        </is>
      </c>
      <c r="M639" t="inlineStr">
        <is>
          <t>PAY02</t>
        </is>
      </c>
      <c r="N639" t="inlineStr">
        <is>
          <t>Afternoon</t>
        </is>
      </c>
      <c r="O639">
        <f>INDEX(Products_Catalog!$B$2:$B$151, MATCH(C639, Products_Catalog!$A$2:$A$151, 0))</f>
        <v/>
      </c>
      <c r="P639" s="13">
        <f>INDEX(Products_Catalog!$D$2:$D$151, MATCH(C639, Products_Catalog!$A$2:$A$151, 0))</f>
        <v/>
      </c>
      <c r="Q639" s="13">
        <f>I639-J639</f>
        <v/>
      </c>
      <c r="R639" s="15">
        <f>IF(K639&gt;20, "BREACH", "OK")</f>
        <v/>
      </c>
    </row>
    <row r="640">
      <c r="A640" t="inlineStr">
        <is>
          <t>ORD01728</t>
        </is>
      </c>
      <c r="B640" t="inlineStr">
        <is>
          <t>CUST0050</t>
        </is>
      </c>
      <c r="C640" t="inlineStr">
        <is>
          <t>PROD089</t>
        </is>
      </c>
      <c r="D640" t="inlineStr">
        <is>
          <t>STORE012</t>
        </is>
      </c>
      <c r="E640" t="inlineStr">
        <is>
          <t>DP027</t>
        </is>
      </c>
      <c r="F640" t="inlineStr">
        <is>
          <t>2025-01-16 12:44:00</t>
        </is>
      </c>
      <c r="G640" t="inlineStr">
        <is>
          <t>2025-01-16 13:03:00</t>
        </is>
      </c>
      <c r="H640" s="14" t="n">
        <v>5</v>
      </c>
      <c r="I640" s="13" t="n">
        <v>1107.05</v>
      </c>
      <c r="J640" s="13" t="n">
        <v>45.04</v>
      </c>
      <c r="K640" s="16" t="n">
        <v>19</v>
      </c>
      <c r="L640" t="inlineStr">
        <is>
          <t>Cancelled</t>
        </is>
      </c>
      <c r="M640" t="inlineStr">
        <is>
          <t>PAY03</t>
        </is>
      </c>
      <c r="N640" t="inlineStr">
        <is>
          <t>Afternoon</t>
        </is>
      </c>
      <c r="O640">
        <f>INDEX(Products_Catalog!$B$2:$B$151, MATCH(C640, Products_Catalog!$A$2:$A$151, 0))</f>
        <v/>
      </c>
      <c r="P640" s="13">
        <f>INDEX(Products_Catalog!$D$2:$D$151, MATCH(C640, Products_Catalog!$A$2:$A$151, 0))</f>
        <v/>
      </c>
      <c r="Q640" s="13">
        <f>I640-J640</f>
        <v/>
      </c>
      <c r="R640" s="15">
        <f>IF(K640&gt;20, "BREACH", "OK")</f>
        <v/>
      </c>
    </row>
    <row r="641">
      <c r="A641" t="inlineStr">
        <is>
          <t>ORD01729</t>
        </is>
      </c>
      <c r="B641" t="inlineStr">
        <is>
          <t>CUST0001</t>
        </is>
      </c>
      <c r="C641" t="inlineStr">
        <is>
          <t>PROD138</t>
        </is>
      </c>
      <c r="D641" t="inlineStr">
        <is>
          <t>STORE016</t>
        </is>
      </c>
      <c r="E641" t="inlineStr">
        <is>
          <t>DP019</t>
        </is>
      </c>
      <c r="F641" t="inlineStr">
        <is>
          <t>2025-02-25 15:22:00</t>
        </is>
      </c>
      <c r="G641" t="inlineStr">
        <is>
          <t>2025-02-25 15:42:00</t>
        </is>
      </c>
      <c r="H641" s="14" t="n">
        <v>7</v>
      </c>
      <c r="I641" s="13" t="n">
        <v>580.16</v>
      </c>
      <c r="J641" s="13" t="n">
        <v>127.07</v>
      </c>
      <c r="K641" s="16" t="n">
        <v>20</v>
      </c>
      <c r="L641" t="inlineStr">
        <is>
          <t>Pending</t>
        </is>
      </c>
      <c r="M641" t="inlineStr">
        <is>
          <t>PAY05</t>
        </is>
      </c>
      <c r="N641" t="inlineStr">
        <is>
          <t>Afternoon</t>
        </is>
      </c>
      <c r="O641">
        <f>INDEX(Products_Catalog!$B$2:$B$151, MATCH(C641, Products_Catalog!$A$2:$A$151, 0))</f>
        <v/>
      </c>
      <c r="P641" s="13">
        <f>INDEX(Products_Catalog!$D$2:$D$151, MATCH(C641, Products_Catalog!$A$2:$A$151, 0))</f>
        <v/>
      </c>
      <c r="Q641" s="13">
        <f>I641-J641</f>
        <v/>
      </c>
      <c r="R641" s="15">
        <f>IF(K641&gt;20, "BREACH", "OK")</f>
        <v/>
      </c>
    </row>
    <row r="642">
      <c r="A642" t="inlineStr">
        <is>
          <t>ORD01730</t>
        </is>
      </c>
      <c r="B642" t="inlineStr">
        <is>
          <t>CUST0049</t>
        </is>
      </c>
      <c r="C642" t="inlineStr">
        <is>
          <t>PROD108</t>
        </is>
      </c>
      <c r="D642" t="inlineStr">
        <is>
          <t>STORE037</t>
        </is>
      </c>
      <c r="E642" t="inlineStr">
        <is>
          <t>DP015</t>
        </is>
      </c>
      <c r="F642" t="inlineStr">
        <is>
          <t>2024-03-27 08:50:00</t>
        </is>
      </c>
      <c r="G642" t="inlineStr">
        <is>
          <t>2024-03-27 09:21:00</t>
        </is>
      </c>
      <c r="H642" s="14" t="n">
        <v>8</v>
      </c>
      <c r="I642" s="13" t="n">
        <v>706.88</v>
      </c>
      <c r="J642" s="13" t="n">
        <v>45.65</v>
      </c>
      <c r="K642" s="16" t="n">
        <v>31</v>
      </c>
      <c r="L642" t="inlineStr">
        <is>
          <t>Shipped</t>
        </is>
      </c>
      <c r="M642" t="inlineStr">
        <is>
          <t>PAY05</t>
        </is>
      </c>
      <c r="N642" t="inlineStr">
        <is>
          <t>Morning</t>
        </is>
      </c>
      <c r="O642">
        <f>INDEX(Products_Catalog!$B$2:$B$151, MATCH(C642, Products_Catalog!$A$2:$A$151, 0))</f>
        <v/>
      </c>
      <c r="P642" s="13">
        <f>INDEX(Products_Catalog!$D$2:$D$151, MATCH(C642, Products_Catalog!$A$2:$A$151, 0))</f>
        <v/>
      </c>
      <c r="Q642" s="13">
        <f>I642-J642</f>
        <v/>
      </c>
      <c r="R642" s="15">
        <f>IF(K642&gt;20, "BREACH", "OK")</f>
        <v/>
      </c>
    </row>
    <row r="643">
      <c r="A643" t="inlineStr">
        <is>
          <t>ORD01731</t>
        </is>
      </c>
      <c r="B643" t="inlineStr">
        <is>
          <t>CUST0037</t>
        </is>
      </c>
      <c r="C643" t="inlineStr">
        <is>
          <t>PROD029</t>
        </is>
      </c>
      <c r="D643" t="inlineStr">
        <is>
          <t>STORE043</t>
        </is>
      </c>
      <c r="E643" t="inlineStr">
        <is>
          <t>DP005</t>
        </is>
      </c>
      <c r="F643" t="inlineStr">
        <is>
          <t>2024-03-25 18:53:00</t>
        </is>
      </c>
      <c r="G643" t="inlineStr">
        <is>
          <t>2024-03-25 19:05:00</t>
        </is>
      </c>
      <c r="H643" s="14" t="n">
        <v>6</v>
      </c>
      <c r="I643" s="13" t="n">
        <v>2878.2</v>
      </c>
      <c r="J643" s="13" t="n">
        <v>490.81</v>
      </c>
      <c r="K643" s="16" t="n">
        <v>12</v>
      </c>
      <c r="L643" t="inlineStr">
        <is>
          <t>Shipped</t>
        </is>
      </c>
      <c r="M643" t="inlineStr">
        <is>
          <t>PAY04</t>
        </is>
      </c>
      <c r="N643" t="inlineStr">
        <is>
          <t>Evening</t>
        </is>
      </c>
      <c r="O643">
        <f>INDEX(Products_Catalog!$B$2:$B$151, MATCH(C643, Products_Catalog!$A$2:$A$151, 0))</f>
        <v/>
      </c>
      <c r="P643" s="13">
        <f>INDEX(Products_Catalog!$D$2:$D$151, MATCH(C643, Products_Catalog!$A$2:$A$151, 0))</f>
        <v/>
      </c>
      <c r="Q643" s="13">
        <f>I643-J643</f>
        <v/>
      </c>
      <c r="R643" s="15">
        <f>IF(K643&gt;20, "BREACH", "OK")</f>
        <v/>
      </c>
    </row>
    <row r="644">
      <c r="A644" t="inlineStr">
        <is>
          <t>ORD01732</t>
        </is>
      </c>
      <c r="B644" t="inlineStr">
        <is>
          <t>CUST0022</t>
        </is>
      </c>
      <c r="C644" t="inlineStr">
        <is>
          <t>PROD110</t>
        </is>
      </c>
      <c r="D644" t="inlineStr">
        <is>
          <t>STORE033</t>
        </is>
      </c>
      <c r="E644" t="inlineStr">
        <is>
          <t>DP030</t>
        </is>
      </c>
      <c r="F644" t="inlineStr">
        <is>
          <t>2024-03-24 19:09:00</t>
        </is>
      </c>
      <c r="G644" t="inlineStr">
        <is>
          <t>2024-03-24 19:23:00</t>
        </is>
      </c>
      <c r="H644" s="14" t="n">
        <v>10</v>
      </c>
      <c r="I644" s="13" t="n">
        <v>1678.7</v>
      </c>
      <c r="J644" s="13" t="n">
        <v>408.38</v>
      </c>
      <c r="K644" s="16" t="n">
        <v>14</v>
      </c>
      <c r="L644" t="inlineStr">
        <is>
          <t>Returned</t>
        </is>
      </c>
      <c r="M644" t="inlineStr">
        <is>
          <t>PAY05</t>
        </is>
      </c>
      <c r="N644" t="inlineStr">
        <is>
          <t>Evening</t>
        </is>
      </c>
      <c r="O644">
        <f>INDEX(Products_Catalog!$B$2:$B$151, MATCH(C644, Products_Catalog!$A$2:$A$151, 0))</f>
        <v/>
      </c>
      <c r="P644" s="13">
        <f>INDEX(Products_Catalog!$D$2:$D$151, MATCH(C644, Products_Catalog!$A$2:$A$151, 0))</f>
        <v/>
      </c>
      <c r="Q644" s="13">
        <f>I644-J644</f>
        <v/>
      </c>
      <c r="R644" s="15">
        <f>IF(K644&gt;20, "BREACH", "OK")</f>
        <v/>
      </c>
    </row>
    <row r="645">
      <c r="A645" t="inlineStr">
        <is>
          <t>ORD01735</t>
        </is>
      </c>
      <c r="B645" t="inlineStr">
        <is>
          <t>CUST0019</t>
        </is>
      </c>
      <c r="C645" t="inlineStr">
        <is>
          <t>PROD103</t>
        </is>
      </c>
      <c r="D645" t="inlineStr">
        <is>
          <t>STORE022</t>
        </is>
      </c>
      <c r="E645" t="inlineStr">
        <is>
          <t>DP011</t>
        </is>
      </c>
      <c r="F645" t="inlineStr">
        <is>
          <t>2024-09-16 11:33:00</t>
        </is>
      </c>
      <c r="G645" t="inlineStr">
        <is>
          <t>2024-09-16 11:50:00</t>
        </is>
      </c>
      <c r="H645" s="14" t="n">
        <v>9</v>
      </c>
      <c r="I645" s="13" t="n">
        <v>4146.48</v>
      </c>
      <c r="J645" s="13" t="n">
        <v>258.27</v>
      </c>
      <c r="K645" s="16" t="n">
        <v>17</v>
      </c>
      <c r="L645" t="inlineStr">
        <is>
          <t>Shipped</t>
        </is>
      </c>
      <c r="M645" t="inlineStr">
        <is>
          <t>PAY05</t>
        </is>
      </c>
      <c r="N645" t="inlineStr">
        <is>
          <t>Morning</t>
        </is>
      </c>
      <c r="O645">
        <f>INDEX(Products_Catalog!$B$2:$B$151, MATCH(C645, Products_Catalog!$A$2:$A$151, 0))</f>
        <v/>
      </c>
      <c r="P645" s="13">
        <f>INDEX(Products_Catalog!$D$2:$D$151, MATCH(C645, Products_Catalog!$A$2:$A$151, 0))</f>
        <v/>
      </c>
      <c r="Q645" s="13">
        <f>I645-J645</f>
        <v/>
      </c>
      <c r="R645" s="15">
        <f>IF(K645&gt;20, "BREACH", "OK")</f>
        <v/>
      </c>
    </row>
    <row r="646">
      <c r="A646" t="inlineStr">
        <is>
          <t>ORD01736</t>
        </is>
      </c>
      <c r="B646" t="inlineStr">
        <is>
          <t>CUST0023</t>
        </is>
      </c>
      <c r="C646" t="inlineStr">
        <is>
          <t>PROD048</t>
        </is>
      </c>
      <c r="D646" t="inlineStr">
        <is>
          <t>STORE030</t>
        </is>
      </c>
      <c r="E646" t="inlineStr">
        <is>
          <t>DP022</t>
        </is>
      </c>
      <c r="F646" t="inlineStr">
        <is>
          <t>2025-05-07 15:18:00</t>
        </is>
      </c>
      <c r="G646" t="inlineStr">
        <is>
          <t>2025-05-07 15:36:00</t>
        </is>
      </c>
      <c r="H646" s="14" t="n">
        <v>5</v>
      </c>
      <c r="I646" s="13" t="n">
        <v>979.75</v>
      </c>
      <c r="J646" s="13" t="n">
        <v>205.82</v>
      </c>
      <c r="K646" s="16" t="n">
        <v>18</v>
      </c>
      <c r="L646" t="inlineStr">
        <is>
          <t>Shipped</t>
        </is>
      </c>
      <c r="M646" t="inlineStr">
        <is>
          <t>PAY03</t>
        </is>
      </c>
      <c r="N646" t="inlineStr">
        <is>
          <t>Afternoon</t>
        </is>
      </c>
      <c r="O646">
        <f>INDEX(Products_Catalog!$B$2:$B$151, MATCH(C646, Products_Catalog!$A$2:$A$151, 0))</f>
        <v/>
      </c>
      <c r="P646" s="13">
        <f>INDEX(Products_Catalog!$D$2:$D$151, MATCH(C646, Products_Catalog!$A$2:$A$151, 0))</f>
        <v/>
      </c>
      <c r="Q646" s="13">
        <f>I646-J646</f>
        <v/>
      </c>
      <c r="R646" s="15">
        <f>IF(K646&gt;20, "BREACH", "OK")</f>
        <v/>
      </c>
    </row>
    <row r="647">
      <c r="A647" t="inlineStr">
        <is>
          <t>ORD01737</t>
        </is>
      </c>
      <c r="B647" t="inlineStr">
        <is>
          <t>CUST0046</t>
        </is>
      </c>
      <c r="C647" t="inlineStr">
        <is>
          <t>PROD054</t>
        </is>
      </c>
      <c r="D647" t="inlineStr">
        <is>
          <t>STORE050</t>
        </is>
      </c>
      <c r="E647" t="inlineStr">
        <is>
          <t>DP021</t>
        </is>
      </c>
      <c r="F647" t="inlineStr">
        <is>
          <t>2024-09-12 12:54:00</t>
        </is>
      </c>
      <c r="G647" t="inlineStr">
        <is>
          <t>2024-09-12 13:13:00</t>
        </is>
      </c>
      <c r="H647" s="14" t="n">
        <v>9</v>
      </c>
      <c r="I647" s="13" t="n">
        <v>1559.25</v>
      </c>
      <c r="J647" s="13" t="n">
        <v>441.06</v>
      </c>
      <c r="K647" s="16" t="n">
        <v>19</v>
      </c>
      <c r="L647" t="inlineStr">
        <is>
          <t>Pending</t>
        </is>
      </c>
      <c r="M647" t="inlineStr">
        <is>
          <t>PAY04</t>
        </is>
      </c>
      <c r="N647" t="inlineStr">
        <is>
          <t>Afternoon</t>
        </is>
      </c>
      <c r="O647">
        <f>INDEX(Products_Catalog!$B$2:$B$151, MATCH(C647, Products_Catalog!$A$2:$A$151, 0))</f>
        <v/>
      </c>
      <c r="P647" s="13">
        <f>INDEX(Products_Catalog!$D$2:$D$151, MATCH(C647, Products_Catalog!$A$2:$A$151, 0))</f>
        <v/>
      </c>
      <c r="Q647" s="13">
        <f>I647-J647</f>
        <v/>
      </c>
      <c r="R647" s="15">
        <f>IF(K647&gt;20, "BREACH", "OK")</f>
        <v/>
      </c>
    </row>
    <row r="648">
      <c r="A648" t="inlineStr">
        <is>
          <t>ORD01738</t>
        </is>
      </c>
      <c r="B648" t="inlineStr">
        <is>
          <t>CUST0037</t>
        </is>
      </c>
      <c r="C648" t="inlineStr">
        <is>
          <t>PROD035</t>
        </is>
      </c>
      <c r="D648" t="inlineStr">
        <is>
          <t>STORE002</t>
        </is>
      </c>
      <c r="E648" t="inlineStr">
        <is>
          <t>DP001</t>
        </is>
      </c>
      <c r="F648" t="inlineStr">
        <is>
          <t>2025-06-13 17:36:00</t>
        </is>
      </c>
      <c r="G648" t="inlineStr">
        <is>
          <t>2025-06-13 17:56:00</t>
        </is>
      </c>
      <c r="H648" s="14" t="n">
        <v>8</v>
      </c>
      <c r="I648" s="13" t="n">
        <v>887.04</v>
      </c>
      <c r="J648" s="13" t="n">
        <v>244.67</v>
      </c>
      <c r="K648" s="16" t="n">
        <v>20</v>
      </c>
      <c r="L648" t="inlineStr">
        <is>
          <t>Returned</t>
        </is>
      </c>
      <c r="M648" t="inlineStr">
        <is>
          <t>PAY02</t>
        </is>
      </c>
      <c r="N648" t="inlineStr">
        <is>
          <t>Evening</t>
        </is>
      </c>
      <c r="O648">
        <f>INDEX(Products_Catalog!$B$2:$B$151, MATCH(C648, Products_Catalog!$A$2:$A$151, 0))</f>
        <v/>
      </c>
      <c r="P648" s="13">
        <f>INDEX(Products_Catalog!$D$2:$D$151, MATCH(C648, Products_Catalog!$A$2:$A$151, 0))</f>
        <v/>
      </c>
      <c r="Q648" s="13">
        <f>I648-J648</f>
        <v/>
      </c>
      <c r="R648" s="15">
        <f>IF(K648&gt;20, "BREACH", "OK")</f>
        <v/>
      </c>
    </row>
    <row r="649">
      <c r="A649" t="inlineStr">
        <is>
          <t>ORD01739</t>
        </is>
      </c>
      <c r="B649" t="inlineStr">
        <is>
          <t>CUST0037</t>
        </is>
      </c>
      <c r="C649" t="inlineStr">
        <is>
          <t>PROD139</t>
        </is>
      </c>
      <c r="D649" t="inlineStr">
        <is>
          <t>STORE043</t>
        </is>
      </c>
      <c r="E649" t="inlineStr">
        <is>
          <t>DP009</t>
        </is>
      </c>
      <c r="F649" t="inlineStr">
        <is>
          <t>2024-10-10 08:37:00</t>
        </is>
      </c>
      <c r="G649" t="inlineStr">
        <is>
          <t>2024-10-10 08:58:00</t>
        </is>
      </c>
      <c r="H649" s="14" t="n">
        <v>3</v>
      </c>
      <c r="I649" s="13" t="n">
        <v>1205.22</v>
      </c>
      <c r="J649" s="13" t="n">
        <v>222.64</v>
      </c>
      <c r="K649" s="16" t="n">
        <v>21</v>
      </c>
      <c r="L649" t="inlineStr">
        <is>
          <t>Shipped</t>
        </is>
      </c>
      <c r="M649" t="inlineStr">
        <is>
          <t>PAY02</t>
        </is>
      </c>
      <c r="N649" t="inlineStr">
        <is>
          <t>Morning</t>
        </is>
      </c>
      <c r="O649">
        <f>INDEX(Products_Catalog!$B$2:$B$151, MATCH(C649, Products_Catalog!$A$2:$A$151, 0))</f>
        <v/>
      </c>
      <c r="P649" s="13">
        <f>INDEX(Products_Catalog!$D$2:$D$151, MATCH(C649, Products_Catalog!$A$2:$A$151, 0))</f>
        <v/>
      </c>
      <c r="Q649" s="13">
        <f>I649-J649</f>
        <v/>
      </c>
      <c r="R649" s="15">
        <f>IF(K649&gt;20, "BREACH", "OK")</f>
        <v/>
      </c>
    </row>
    <row r="650">
      <c r="A650" t="inlineStr">
        <is>
          <t>ORD01740</t>
        </is>
      </c>
      <c r="B650" t="inlineStr">
        <is>
          <t>CUST0003</t>
        </is>
      </c>
      <c r="C650" t="inlineStr">
        <is>
          <t>PROD013</t>
        </is>
      </c>
      <c r="D650" t="inlineStr">
        <is>
          <t>STORE015</t>
        </is>
      </c>
      <c r="E650" t="inlineStr">
        <is>
          <t>DP047</t>
        </is>
      </c>
      <c r="F650" t="inlineStr">
        <is>
          <t>2024-08-17 20:32:00</t>
        </is>
      </c>
      <c r="G650" t="inlineStr">
        <is>
          <t>2024-08-17 20:54:00</t>
        </is>
      </c>
      <c r="H650" s="14" t="n">
        <v>6</v>
      </c>
      <c r="I650" s="13" t="n">
        <v>2159.34</v>
      </c>
      <c r="J650" s="13" t="n">
        <v>268.21</v>
      </c>
      <c r="K650" s="16" t="n">
        <v>22</v>
      </c>
      <c r="L650" t="inlineStr">
        <is>
          <t>Pending</t>
        </is>
      </c>
      <c r="M650" t="inlineStr">
        <is>
          <t>PAY01</t>
        </is>
      </c>
      <c r="N650" t="inlineStr">
        <is>
          <t>Evening</t>
        </is>
      </c>
      <c r="O650">
        <f>INDEX(Products_Catalog!$B$2:$B$151, MATCH(C650, Products_Catalog!$A$2:$A$151, 0))</f>
        <v/>
      </c>
      <c r="P650" s="13">
        <f>INDEX(Products_Catalog!$D$2:$D$151, MATCH(C650, Products_Catalog!$A$2:$A$151, 0))</f>
        <v/>
      </c>
      <c r="Q650" s="13">
        <f>I650-J650</f>
        <v/>
      </c>
      <c r="R650" s="15">
        <f>IF(K650&gt;20, "BREACH", "OK")</f>
        <v/>
      </c>
    </row>
    <row r="651">
      <c r="A651" t="inlineStr">
        <is>
          <t>ORD01742</t>
        </is>
      </c>
      <c r="B651" t="inlineStr">
        <is>
          <t>CUST0038</t>
        </is>
      </c>
      <c r="C651" t="inlineStr">
        <is>
          <t>PROD115</t>
        </is>
      </c>
      <c r="D651" t="inlineStr">
        <is>
          <t>STORE050</t>
        </is>
      </c>
      <c r="E651" t="inlineStr">
        <is>
          <t>DP003</t>
        </is>
      </c>
      <c r="F651" t="inlineStr">
        <is>
          <t>2024-06-14 12:30:00</t>
        </is>
      </c>
      <c r="G651" t="inlineStr">
        <is>
          <t>2024-06-14 12:54:00</t>
        </is>
      </c>
      <c r="H651" s="14" t="n">
        <v>4</v>
      </c>
      <c r="I651" s="13" t="n">
        <v>1363.44</v>
      </c>
      <c r="J651" s="13" t="n">
        <v>309.08</v>
      </c>
      <c r="K651" s="16" t="n">
        <v>24</v>
      </c>
      <c r="L651" t="inlineStr">
        <is>
          <t>Delivered</t>
        </is>
      </c>
      <c r="M651" t="inlineStr">
        <is>
          <t>PAY05</t>
        </is>
      </c>
      <c r="N651" t="inlineStr">
        <is>
          <t>Afternoon</t>
        </is>
      </c>
      <c r="O651">
        <f>INDEX(Products_Catalog!$B$2:$B$151, MATCH(C651, Products_Catalog!$A$2:$A$151, 0))</f>
        <v/>
      </c>
      <c r="P651" s="13">
        <f>INDEX(Products_Catalog!$D$2:$D$151, MATCH(C651, Products_Catalog!$A$2:$A$151, 0))</f>
        <v/>
      </c>
      <c r="Q651" s="13">
        <f>I651-J651</f>
        <v/>
      </c>
      <c r="R651" s="15">
        <f>IF(K651&gt;20, "BREACH", "OK")</f>
        <v/>
      </c>
    </row>
    <row r="652">
      <c r="A652" t="inlineStr">
        <is>
          <t>ORD01743</t>
        </is>
      </c>
      <c r="B652" t="inlineStr">
        <is>
          <t>CUST0043</t>
        </is>
      </c>
      <c r="C652" t="inlineStr">
        <is>
          <t>PROD014</t>
        </is>
      </c>
      <c r="D652" t="inlineStr">
        <is>
          <t>STORE027</t>
        </is>
      </c>
      <c r="E652" t="inlineStr">
        <is>
          <t>DP008</t>
        </is>
      </c>
      <c r="F652" t="inlineStr">
        <is>
          <t>2025-06-12 08:06:00</t>
        </is>
      </c>
      <c r="G652" t="inlineStr">
        <is>
          <t>2025-06-12 08:31:00</t>
        </is>
      </c>
      <c r="H652" s="14" t="n">
        <v>9</v>
      </c>
      <c r="I652" s="13" t="n">
        <v>1404.63</v>
      </c>
      <c r="J652" s="13" t="n">
        <v>335.05</v>
      </c>
      <c r="K652" s="16" t="n">
        <v>25</v>
      </c>
      <c r="L652" t="inlineStr">
        <is>
          <t>Cancelled</t>
        </is>
      </c>
      <c r="M652" t="inlineStr">
        <is>
          <t>PAY04</t>
        </is>
      </c>
      <c r="N652" t="inlineStr">
        <is>
          <t>Morning</t>
        </is>
      </c>
      <c r="O652">
        <f>INDEX(Products_Catalog!$B$2:$B$151, MATCH(C652, Products_Catalog!$A$2:$A$151, 0))</f>
        <v/>
      </c>
      <c r="P652" s="13">
        <f>INDEX(Products_Catalog!$D$2:$D$151, MATCH(C652, Products_Catalog!$A$2:$A$151, 0))</f>
        <v/>
      </c>
      <c r="Q652" s="13">
        <f>I652-J652</f>
        <v/>
      </c>
      <c r="R652" s="15">
        <f>IF(K652&gt;20, "BREACH", "OK")</f>
        <v/>
      </c>
    </row>
    <row r="653">
      <c r="A653" t="inlineStr">
        <is>
          <t>ORD01744</t>
        </is>
      </c>
      <c r="B653" t="inlineStr">
        <is>
          <t>CUST0011</t>
        </is>
      </c>
      <c r="C653" t="inlineStr">
        <is>
          <t>PROD124</t>
        </is>
      </c>
      <c r="D653" t="inlineStr">
        <is>
          <t>STORE011</t>
        </is>
      </c>
      <c r="E653" t="inlineStr">
        <is>
          <t>DP031</t>
        </is>
      </c>
      <c r="F653" t="inlineStr">
        <is>
          <t>2025-06-15 18:50:00</t>
        </is>
      </c>
      <c r="G653" t="inlineStr">
        <is>
          <t>2025-06-15 19:16:00</t>
        </is>
      </c>
      <c r="H653" s="14" t="n">
        <v>3</v>
      </c>
      <c r="I653" s="13" t="n">
        <v>410.25</v>
      </c>
      <c r="J653" s="13" t="n">
        <v>79.18000000000001</v>
      </c>
      <c r="K653" s="16" t="n">
        <v>26</v>
      </c>
      <c r="L653" t="inlineStr">
        <is>
          <t>Shipped</t>
        </is>
      </c>
      <c r="M653" t="inlineStr">
        <is>
          <t>PAY02</t>
        </is>
      </c>
      <c r="N653" t="inlineStr">
        <is>
          <t>Evening</t>
        </is>
      </c>
      <c r="O653">
        <f>INDEX(Products_Catalog!$B$2:$B$151, MATCH(C653, Products_Catalog!$A$2:$A$151, 0))</f>
        <v/>
      </c>
      <c r="P653" s="13">
        <f>INDEX(Products_Catalog!$D$2:$D$151, MATCH(C653, Products_Catalog!$A$2:$A$151, 0))</f>
        <v/>
      </c>
      <c r="Q653" s="13">
        <f>I653-J653</f>
        <v/>
      </c>
      <c r="R653" s="15">
        <f>IF(K653&gt;20, "BREACH", "OK")</f>
        <v/>
      </c>
    </row>
    <row r="654">
      <c r="A654" t="inlineStr">
        <is>
          <t>ORD01745</t>
        </is>
      </c>
      <c r="B654" t="inlineStr">
        <is>
          <t>CUST0001</t>
        </is>
      </c>
      <c r="C654" t="inlineStr">
        <is>
          <t>PROD147</t>
        </is>
      </c>
      <c r="D654" t="inlineStr">
        <is>
          <t>STORE024</t>
        </is>
      </c>
      <c r="E654" t="inlineStr">
        <is>
          <t>DP038</t>
        </is>
      </c>
      <c r="F654" t="inlineStr">
        <is>
          <t>2025-01-26 19:33:00</t>
        </is>
      </c>
      <c r="G654" t="inlineStr">
        <is>
          <t>2025-01-26 20:00:00</t>
        </is>
      </c>
      <c r="H654" s="14" t="n">
        <v>1</v>
      </c>
      <c r="I654" s="13" t="n">
        <v>245.49</v>
      </c>
      <c r="J654" s="13" t="n">
        <v>63.64</v>
      </c>
      <c r="K654" s="16" t="n">
        <v>27</v>
      </c>
      <c r="L654" t="inlineStr">
        <is>
          <t>Delivered</t>
        </is>
      </c>
      <c r="M654" t="inlineStr">
        <is>
          <t>PAY01</t>
        </is>
      </c>
      <c r="N654" t="inlineStr">
        <is>
          <t>Evening</t>
        </is>
      </c>
      <c r="O654">
        <f>INDEX(Products_Catalog!$B$2:$B$151, MATCH(C654, Products_Catalog!$A$2:$A$151, 0))</f>
        <v/>
      </c>
      <c r="P654" s="13">
        <f>INDEX(Products_Catalog!$D$2:$D$151, MATCH(C654, Products_Catalog!$A$2:$A$151, 0))</f>
        <v/>
      </c>
      <c r="Q654" s="13">
        <f>I654-J654</f>
        <v/>
      </c>
      <c r="R654" s="15">
        <f>IF(K654&gt;20, "BREACH", "OK")</f>
        <v/>
      </c>
    </row>
    <row r="655">
      <c r="A655" t="inlineStr">
        <is>
          <t>ORD01746</t>
        </is>
      </c>
      <c r="B655" t="inlineStr">
        <is>
          <t>CUST0033</t>
        </is>
      </c>
      <c r="C655" t="inlineStr">
        <is>
          <t>PROD021</t>
        </is>
      </c>
      <c r="D655" t="inlineStr">
        <is>
          <t>STORE040</t>
        </is>
      </c>
      <c r="E655" t="inlineStr">
        <is>
          <t>DP023</t>
        </is>
      </c>
      <c r="F655" t="inlineStr">
        <is>
          <t>2024-04-17 11:04:00</t>
        </is>
      </c>
      <c r="G655" t="inlineStr">
        <is>
          <t>2024-04-17 11:32:00</t>
        </is>
      </c>
      <c r="H655" s="14" t="n">
        <v>9</v>
      </c>
      <c r="I655" s="13" t="n">
        <v>3595.77</v>
      </c>
      <c r="J655" s="13" t="n">
        <v>267.69</v>
      </c>
      <c r="K655" s="16" t="n">
        <v>28</v>
      </c>
      <c r="L655" t="inlineStr">
        <is>
          <t>Shipped</t>
        </is>
      </c>
      <c r="M655" t="inlineStr">
        <is>
          <t>PAY02</t>
        </is>
      </c>
      <c r="N655" t="inlineStr">
        <is>
          <t>Morning</t>
        </is>
      </c>
      <c r="O655">
        <f>INDEX(Products_Catalog!$B$2:$B$151, MATCH(C655, Products_Catalog!$A$2:$A$151, 0))</f>
        <v/>
      </c>
      <c r="P655" s="13">
        <f>INDEX(Products_Catalog!$D$2:$D$151, MATCH(C655, Products_Catalog!$A$2:$A$151, 0))</f>
        <v/>
      </c>
      <c r="Q655" s="13">
        <f>I655-J655</f>
        <v/>
      </c>
      <c r="R655" s="15">
        <f>IF(K655&gt;20, "BREACH", "OK")</f>
        <v/>
      </c>
    </row>
    <row r="656">
      <c r="A656" t="inlineStr">
        <is>
          <t>ORD01747</t>
        </is>
      </c>
      <c r="B656" t="inlineStr">
        <is>
          <t>CUST0028</t>
        </is>
      </c>
      <c r="C656" t="inlineStr">
        <is>
          <t>PROD069</t>
        </is>
      </c>
      <c r="D656" t="inlineStr">
        <is>
          <t>STORE014</t>
        </is>
      </c>
      <c r="E656" t="inlineStr">
        <is>
          <t>DP025</t>
        </is>
      </c>
      <c r="F656" t="inlineStr">
        <is>
          <t>2024-01-19 16:36:00</t>
        </is>
      </c>
      <c r="G656" t="inlineStr">
        <is>
          <t>2024-01-19 17:05:00</t>
        </is>
      </c>
      <c r="H656" s="14" t="n">
        <v>8</v>
      </c>
      <c r="I656" s="13" t="n">
        <v>459.28</v>
      </c>
      <c r="J656" s="13" t="n">
        <v>31.96</v>
      </c>
      <c r="K656" s="16" t="n">
        <v>29</v>
      </c>
      <c r="L656" t="inlineStr">
        <is>
          <t>Shipped</t>
        </is>
      </c>
      <c r="M656" t="inlineStr">
        <is>
          <t>PAY01</t>
        </is>
      </c>
      <c r="N656" t="inlineStr">
        <is>
          <t>Afternoon</t>
        </is>
      </c>
      <c r="O656">
        <f>INDEX(Products_Catalog!$B$2:$B$151, MATCH(C656, Products_Catalog!$A$2:$A$151, 0))</f>
        <v/>
      </c>
      <c r="P656" s="13">
        <f>INDEX(Products_Catalog!$D$2:$D$151, MATCH(C656, Products_Catalog!$A$2:$A$151, 0))</f>
        <v/>
      </c>
      <c r="Q656" s="13">
        <f>I656-J656</f>
        <v/>
      </c>
      <c r="R656" s="15">
        <f>IF(K656&gt;20, "BREACH", "OK")</f>
        <v/>
      </c>
    </row>
    <row r="657">
      <c r="A657" t="inlineStr">
        <is>
          <t>ORD01751</t>
        </is>
      </c>
      <c r="B657" t="inlineStr">
        <is>
          <t>CUST0030</t>
        </is>
      </c>
      <c r="C657" t="inlineStr">
        <is>
          <t>PROD118</t>
        </is>
      </c>
      <c r="D657" t="inlineStr">
        <is>
          <t>STORE038</t>
        </is>
      </c>
      <c r="E657" t="inlineStr">
        <is>
          <t>DP030</t>
        </is>
      </c>
      <c r="F657" t="inlineStr">
        <is>
          <t>2024-06-08 16:53:00</t>
        </is>
      </c>
      <c r="G657" t="inlineStr">
        <is>
          <t>2024-06-08 17:05:00</t>
        </is>
      </c>
      <c r="H657" s="14" t="n">
        <v>8</v>
      </c>
      <c r="I657" s="13" t="n">
        <v>877.76</v>
      </c>
      <c r="J657" s="13" t="n">
        <v>235.38</v>
      </c>
      <c r="K657" s="16" t="n">
        <v>12</v>
      </c>
      <c r="L657" t="inlineStr">
        <is>
          <t>Delivered</t>
        </is>
      </c>
      <c r="M657" t="inlineStr">
        <is>
          <t>PAY03</t>
        </is>
      </c>
      <c r="N657" t="inlineStr">
        <is>
          <t>Afternoon</t>
        </is>
      </c>
      <c r="O657">
        <f>INDEX(Products_Catalog!$B$2:$B$151, MATCH(C657, Products_Catalog!$A$2:$A$151, 0))</f>
        <v/>
      </c>
      <c r="P657" s="13">
        <f>INDEX(Products_Catalog!$D$2:$D$151, MATCH(C657, Products_Catalog!$A$2:$A$151, 0))</f>
        <v/>
      </c>
      <c r="Q657" s="13">
        <f>I657-J657</f>
        <v/>
      </c>
      <c r="R657" s="15">
        <f>IF(K657&gt;20, "BREACH", "OK")</f>
        <v/>
      </c>
    </row>
    <row r="658">
      <c r="A658" t="inlineStr">
        <is>
          <t>ORD01753</t>
        </is>
      </c>
      <c r="B658" t="inlineStr">
        <is>
          <t>CUST0001</t>
        </is>
      </c>
      <c r="C658" t="inlineStr">
        <is>
          <t>PROD106</t>
        </is>
      </c>
      <c r="D658" t="inlineStr">
        <is>
          <t>STORE008</t>
        </is>
      </c>
      <c r="E658" t="inlineStr">
        <is>
          <t>DP002</t>
        </is>
      </c>
      <c r="F658" t="inlineStr">
        <is>
          <t>2025-01-30 20:09:00</t>
        </is>
      </c>
      <c r="G658" t="inlineStr">
        <is>
          <t>2025-01-30 20:22:00</t>
        </is>
      </c>
      <c r="H658" s="14" t="n">
        <v>1</v>
      </c>
      <c r="I658" s="13" t="n">
        <v>321.1</v>
      </c>
      <c r="J658" s="13" t="n">
        <v>4.24</v>
      </c>
      <c r="K658" s="16" t="n">
        <v>13</v>
      </c>
      <c r="L658" t="inlineStr">
        <is>
          <t>Pending</t>
        </is>
      </c>
      <c r="M658" t="inlineStr">
        <is>
          <t>PAY02</t>
        </is>
      </c>
      <c r="N658" t="inlineStr">
        <is>
          <t>Evening</t>
        </is>
      </c>
      <c r="O658">
        <f>INDEX(Products_Catalog!$B$2:$B$151, MATCH(C658, Products_Catalog!$A$2:$A$151, 0))</f>
        <v/>
      </c>
      <c r="P658" s="13">
        <f>INDEX(Products_Catalog!$D$2:$D$151, MATCH(C658, Products_Catalog!$A$2:$A$151, 0))</f>
        <v/>
      </c>
      <c r="Q658" s="13">
        <f>I658-J658</f>
        <v/>
      </c>
      <c r="R658" s="15">
        <f>IF(K658&gt;20, "BREACH", "OK")</f>
        <v/>
      </c>
    </row>
    <row r="659">
      <c r="A659" t="inlineStr">
        <is>
          <t>ORD01755</t>
        </is>
      </c>
      <c r="B659" t="inlineStr">
        <is>
          <t>CUST0039</t>
        </is>
      </c>
      <c r="C659" t="inlineStr">
        <is>
          <t>PROD103</t>
        </is>
      </c>
      <c r="D659" t="inlineStr">
        <is>
          <t>STORE029</t>
        </is>
      </c>
      <c r="E659" t="inlineStr">
        <is>
          <t>DP045</t>
        </is>
      </c>
      <c r="F659" t="inlineStr">
        <is>
          <t>2025-05-04 20:21:00</t>
        </is>
      </c>
      <c r="G659" t="inlineStr">
        <is>
          <t>2025-05-04 20:36:00</t>
        </is>
      </c>
      <c r="H659" s="14" t="n">
        <v>6</v>
      </c>
      <c r="I659" s="13" t="n">
        <v>2747.76</v>
      </c>
      <c r="J659" s="13" t="n">
        <v>14.48</v>
      </c>
      <c r="K659" s="16" t="n">
        <v>15</v>
      </c>
      <c r="L659" t="inlineStr">
        <is>
          <t>Delivered</t>
        </is>
      </c>
      <c r="M659" t="inlineStr">
        <is>
          <t>PAY04</t>
        </is>
      </c>
      <c r="N659" t="inlineStr">
        <is>
          <t>Evening</t>
        </is>
      </c>
      <c r="O659">
        <f>INDEX(Products_Catalog!$B$2:$B$151, MATCH(C659, Products_Catalog!$A$2:$A$151, 0))</f>
        <v/>
      </c>
      <c r="P659" s="13">
        <f>INDEX(Products_Catalog!$D$2:$D$151, MATCH(C659, Products_Catalog!$A$2:$A$151, 0))</f>
        <v/>
      </c>
      <c r="Q659" s="13">
        <f>I659-J659</f>
        <v/>
      </c>
      <c r="R659" s="15">
        <f>IF(K659&gt;20, "BREACH", "OK")</f>
        <v/>
      </c>
    </row>
    <row r="660">
      <c r="A660" t="inlineStr">
        <is>
          <t>ORD01756</t>
        </is>
      </c>
      <c r="B660" t="inlineStr">
        <is>
          <t>CUST0017</t>
        </is>
      </c>
      <c r="C660" t="inlineStr">
        <is>
          <t>PROD013</t>
        </is>
      </c>
      <c r="D660" t="inlineStr">
        <is>
          <t>STORE040</t>
        </is>
      </c>
      <c r="E660" t="inlineStr">
        <is>
          <t>DP042</t>
        </is>
      </c>
      <c r="F660" t="inlineStr">
        <is>
          <t>2025-01-15 18:39:00</t>
        </is>
      </c>
      <c r="G660" t="inlineStr">
        <is>
          <t>2025-01-15 18:55:00</t>
        </is>
      </c>
      <c r="H660" s="14" t="n">
        <v>2</v>
      </c>
      <c r="I660" s="13" t="n">
        <v>352.34</v>
      </c>
      <c r="J660" s="13" t="n">
        <v>90.42</v>
      </c>
      <c r="K660" s="16" t="n">
        <v>16</v>
      </c>
      <c r="L660" t="inlineStr">
        <is>
          <t>Shipped</t>
        </is>
      </c>
      <c r="M660" t="inlineStr">
        <is>
          <t>PAY05</t>
        </is>
      </c>
      <c r="N660" t="inlineStr">
        <is>
          <t>Evening</t>
        </is>
      </c>
      <c r="O660">
        <f>INDEX(Products_Catalog!$B$2:$B$151, MATCH(C660, Products_Catalog!$A$2:$A$151, 0))</f>
        <v/>
      </c>
      <c r="P660" s="13">
        <f>INDEX(Products_Catalog!$D$2:$D$151, MATCH(C660, Products_Catalog!$A$2:$A$151, 0))</f>
        <v/>
      </c>
      <c r="Q660" s="13">
        <f>I660-J660</f>
        <v/>
      </c>
      <c r="R660" s="15">
        <f>IF(K660&gt;20, "BREACH", "OK")</f>
        <v/>
      </c>
    </row>
    <row r="661">
      <c r="A661" t="inlineStr">
        <is>
          <t>ORD01757</t>
        </is>
      </c>
      <c r="B661" t="inlineStr">
        <is>
          <t>CUST0041</t>
        </is>
      </c>
      <c r="C661" t="inlineStr">
        <is>
          <t>PROD082</t>
        </is>
      </c>
      <c r="D661" t="inlineStr">
        <is>
          <t>STORE041</t>
        </is>
      </c>
      <c r="E661" t="inlineStr">
        <is>
          <t>DP040</t>
        </is>
      </c>
      <c r="F661" t="inlineStr">
        <is>
          <t>2024-02-21 16:51:00</t>
        </is>
      </c>
      <c r="G661" t="inlineStr">
        <is>
          <t>2024-02-21 17:08:00</t>
        </is>
      </c>
      <c r="H661" s="14" t="n">
        <v>1</v>
      </c>
      <c r="I661" s="13" t="n">
        <v>420.81</v>
      </c>
      <c r="J661" s="13" t="n">
        <v>46.27</v>
      </c>
      <c r="K661" s="16" t="n">
        <v>17</v>
      </c>
      <c r="L661" t="inlineStr">
        <is>
          <t>Cancelled</t>
        </is>
      </c>
      <c r="M661" t="inlineStr">
        <is>
          <t>PAY05</t>
        </is>
      </c>
      <c r="N661" t="inlineStr">
        <is>
          <t>Afternoon</t>
        </is>
      </c>
      <c r="O661">
        <f>INDEX(Products_Catalog!$B$2:$B$151, MATCH(C661, Products_Catalog!$A$2:$A$151, 0))</f>
        <v/>
      </c>
      <c r="P661" s="13">
        <f>INDEX(Products_Catalog!$D$2:$D$151, MATCH(C661, Products_Catalog!$A$2:$A$151, 0))</f>
        <v/>
      </c>
      <c r="Q661" s="13">
        <f>I661-J661</f>
        <v/>
      </c>
      <c r="R661" s="15">
        <f>IF(K661&gt;20, "BREACH", "OK")</f>
        <v/>
      </c>
    </row>
    <row r="662">
      <c r="A662" t="inlineStr">
        <is>
          <t>ORD01759</t>
        </is>
      </c>
      <c r="B662" t="inlineStr">
        <is>
          <t>CUST0029</t>
        </is>
      </c>
      <c r="C662" t="inlineStr">
        <is>
          <t>PROD046</t>
        </is>
      </c>
      <c r="D662" t="inlineStr">
        <is>
          <t>STORE009</t>
        </is>
      </c>
      <c r="E662" t="inlineStr">
        <is>
          <t>DP042</t>
        </is>
      </c>
      <c r="F662" t="inlineStr">
        <is>
          <t>2024-07-22 17:30:00</t>
        </is>
      </c>
      <c r="G662" t="inlineStr">
        <is>
          <t>2024-07-22 17:49:00</t>
        </is>
      </c>
      <c r="H662" s="14" t="n">
        <v>7</v>
      </c>
      <c r="I662" s="13" t="n">
        <v>1642.34</v>
      </c>
      <c r="J662" s="13" t="n">
        <v>221.87</v>
      </c>
      <c r="K662" s="16" t="n">
        <v>19</v>
      </c>
      <c r="L662" t="inlineStr">
        <is>
          <t>Pending</t>
        </is>
      </c>
      <c r="M662" t="inlineStr">
        <is>
          <t>PAY03</t>
        </is>
      </c>
      <c r="N662" t="inlineStr">
        <is>
          <t>Evening</t>
        </is>
      </c>
      <c r="O662">
        <f>INDEX(Products_Catalog!$B$2:$B$151, MATCH(C662, Products_Catalog!$A$2:$A$151, 0))</f>
        <v/>
      </c>
      <c r="P662" s="13">
        <f>INDEX(Products_Catalog!$D$2:$D$151, MATCH(C662, Products_Catalog!$A$2:$A$151, 0))</f>
        <v/>
      </c>
      <c r="Q662" s="13">
        <f>I662-J662</f>
        <v/>
      </c>
      <c r="R662" s="15">
        <f>IF(K662&gt;20, "BREACH", "OK")</f>
        <v/>
      </c>
    </row>
    <row r="663">
      <c r="A663" t="inlineStr">
        <is>
          <t>ORD01761</t>
        </is>
      </c>
      <c r="B663" t="inlineStr">
        <is>
          <t>CUST0032</t>
        </is>
      </c>
      <c r="C663" t="inlineStr">
        <is>
          <t>PROD139</t>
        </is>
      </c>
      <c r="D663" t="inlineStr">
        <is>
          <t>STORE026</t>
        </is>
      </c>
      <c r="E663" t="inlineStr">
        <is>
          <t>DP036</t>
        </is>
      </c>
      <c r="F663" t="inlineStr">
        <is>
          <t>2024-06-02 10:07:00</t>
        </is>
      </c>
      <c r="G663" t="inlineStr">
        <is>
          <t>2024-06-02 10:28:00</t>
        </is>
      </c>
      <c r="H663" s="14" t="n">
        <v>10</v>
      </c>
      <c r="I663" s="13" t="n">
        <v>978.4</v>
      </c>
      <c r="J663" s="13" t="n">
        <v>37.22</v>
      </c>
      <c r="K663" s="16" t="n">
        <v>21</v>
      </c>
      <c r="L663" t="inlineStr">
        <is>
          <t>Returned</t>
        </is>
      </c>
      <c r="M663" t="inlineStr">
        <is>
          <t>PAY03</t>
        </is>
      </c>
      <c r="N663" t="inlineStr">
        <is>
          <t>Morning</t>
        </is>
      </c>
      <c r="O663">
        <f>INDEX(Products_Catalog!$B$2:$B$151, MATCH(C663, Products_Catalog!$A$2:$A$151, 0))</f>
        <v/>
      </c>
      <c r="P663" s="13">
        <f>INDEX(Products_Catalog!$D$2:$D$151, MATCH(C663, Products_Catalog!$A$2:$A$151, 0))</f>
        <v/>
      </c>
      <c r="Q663" s="13">
        <f>I663-J663</f>
        <v/>
      </c>
      <c r="R663" s="15">
        <f>IF(K663&gt;20, "BREACH", "OK")</f>
        <v/>
      </c>
    </row>
    <row r="664">
      <c r="A664" t="inlineStr">
        <is>
          <t>ORD01762</t>
        </is>
      </c>
      <c r="B664" t="inlineStr">
        <is>
          <t>CUST0006</t>
        </is>
      </c>
      <c r="C664" t="inlineStr">
        <is>
          <t>PROD149</t>
        </is>
      </c>
      <c r="D664" t="inlineStr">
        <is>
          <t>STORE028</t>
        </is>
      </c>
      <c r="E664" t="inlineStr">
        <is>
          <t>DP046</t>
        </is>
      </c>
      <c r="F664" t="inlineStr">
        <is>
          <t>2025-05-06 16:02:00</t>
        </is>
      </c>
      <c r="G664" t="inlineStr">
        <is>
          <t>2025-05-06 16:24:00</t>
        </is>
      </c>
      <c r="H664" s="14" t="n">
        <v>1</v>
      </c>
      <c r="I664" s="13" t="n">
        <v>367.51</v>
      </c>
      <c r="J664" s="13" t="n">
        <v>44.56</v>
      </c>
      <c r="K664" s="16" t="n">
        <v>22</v>
      </c>
      <c r="L664" t="inlineStr">
        <is>
          <t>Shipped</t>
        </is>
      </c>
      <c r="M664" t="inlineStr">
        <is>
          <t>PAY04</t>
        </is>
      </c>
      <c r="N664" t="inlineStr">
        <is>
          <t>Afternoon</t>
        </is>
      </c>
      <c r="O664">
        <f>INDEX(Products_Catalog!$B$2:$B$151, MATCH(C664, Products_Catalog!$A$2:$A$151, 0))</f>
        <v/>
      </c>
      <c r="P664" s="13">
        <f>INDEX(Products_Catalog!$D$2:$D$151, MATCH(C664, Products_Catalog!$A$2:$A$151, 0))</f>
        <v/>
      </c>
      <c r="Q664" s="13">
        <f>I664-J664</f>
        <v/>
      </c>
      <c r="R664" s="15">
        <f>IF(K664&gt;20, "BREACH", "OK")</f>
        <v/>
      </c>
    </row>
    <row r="665">
      <c r="A665" t="inlineStr">
        <is>
          <t>ORD01763</t>
        </is>
      </c>
      <c r="B665" t="inlineStr">
        <is>
          <t>CUST0040</t>
        </is>
      </c>
      <c r="C665" t="inlineStr">
        <is>
          <t>PROD058</t>
        </is>
      </c>
      <c r="D665" t="inlineStr">
        <is>
          <t>STORE034</t>
        </is>
      </c>
      <c r="E665" t="inlineStr">
        <is>
          <t>DP044</t>
        </is>
      </c>
      <c r="F665" t="inlineStr">
        <is>
          <t>2025-06-26 19:57:00</t>
        </is>
      </c>
      <c r="G665" t="inlineStr">
        <is>
          <t>2025-06-26 20:20:00</t>
        </is>
      </c>
      <c r="H665" s="14" t="n">
        <v>8</v>
      </c>
      <c r="I665" s="13" t="n">
        <v>1289.2</v>
      </c>
      <c r="J665" s="13" t="n">
        <v>357.34</v>
      </c>
      <c r="K665" s="16" t="n">
        <v>23</v>
      </c>
      <c r="L665" t="inlineStr">
        <is>
          <t>Returned</t>
        </is>
      </c>
      <c r="M665" t="inlineStr">
        <is>
          <t>PAY01</t>
        </is>
      </c>
      <c r="N665" t="inlineStr">
        <is>
          <t>Evening</t>
        </is>
      </c>
      <c r="O665">
        <f>INDEX(Products_Catalog!$B$2:$B$151, MATCH(C665, Products_Catalog!$A$2:$A$151, 0))</f>
        <v/>
      </c>
      <c r="P665" s="13">
        <f>INDEX(Products_Catalog!$D$2:$D$151, MATCH(C665, Products_Catalog!$A$2:$A$151, 0))</f>
        <v/>
      </c>
      <c r="Q665" s="13">
        <f>I665-J665</f>
        <v/>
      </c>
      <c r="R665" s="15">
        <f>IF(K665&gt;20, "BREACH", "OK")</f>
        <v/>
      </c>
    </row>
    <row r="666">
      <c r="A666" t="inlineStr">
        <is>
          <t>ORD01764</t>
        </is>
      </c>
      <c r="B666" t="inlineStr">
        <is>
          <t>CUST0038</t>
        </is>
      </c>
      <c r="C666" t="inlineStr">
        <is>
          <t>PROD078</t>
        </is>
      </c>
      <c r="D666" t="inlineStr">
        <is>
          <t>STORE022</t>
        </is>
      </c>
      <c r="E666" t="inlineStr">
        <is>
          <t>DP030</t>
        </is>
      </c>
      <c r="F666" t="inlineStr">
        <is>
          <t>2024-05-03 12:09:00</t>
        </is>
      </c>
      <c r="G666" t="inlineStr">
        <is>
          <t>2024-05-03 12:33:00</t>
        </is>
      </c>
      <c r="H666" s="14" t="n">
        <v>7</v>
      </c>
      <c r="I666" s="13" t="n">
        <v>552.23</v>
      </c>
      <c r="J666" s="13" t="n">
        <v>110.56</v>
      </c>
      <c r="K666" s="16" t="n">
        <v>24</v>
      </c>
      <c r="L666" t="inlineStr">
        <is>
          <t>Cancelled</t>
        </is>
      </c>
      <c r="M666" t="inlineStr">
        <is>
          <t>PAY01</t>
        </is>
      </c>
      <c r="N666" t="inlineStr">
        <is>
          <t>Afternoon</t>
        </is>
      </c>
      <c r="O666">
        <f>INDEX(Products_Catalog!$B$2:$B$151, MATCH(C666, Products_Catalog!$A$2:$A$151, 0))</f>
        <v/>
      </c>
      <c r="P666" s="13">
        <f>INDEX(Products_Catalog!$D$2:$D$151, MATCH(C666, Products_Catalog!$A$2:$A$151, 0))</f>
        <v/>
      </c>
      <c r="Q666" s="13">
        <f>I666-J666</f>
        <v/>
      </c>
      <c r="R666" s="15">
        <f>IF(K666&gt;20, "BREACH", "OK")</f>
        <v/>
      </c>
    </row>
    <row r="667">
      <c r="A667" t="inlineStr">
        <is>
          <t>ORD01766</t>
        </is>
      </c>
      <c r="B667" t="inlineStr">
        <is>
          <t>CUST0041</t>
        </is>
      </c>
      <c r="C667" t="inlineStr">
        <is>
          <t>PROD092</t>
        </is>
      </c>
      <c r="D667" t="inlineStr">
        <is>
          <t>STORE020</t>
        </is>
      </c>
      <c r="E667" t="inlineStr">
        <is>
          <t>DP018</t>
        </is>
      </c>
      <c r="F667" t="inlineStr">
        <is>
          <t>2025-03-26 17:41:00</t>
        </is>
      </c>
      <c r="G667" t="inlineStr">
        <is>
          <t>2025-03-26 18:07:00</t>
        </is>
      </c>
      <c r="H667" s="14" t="n">
        <v>1</v>
      </c>
      <c r="I667" s="13" t="n">
        <v>102.95</v>
      </c>
      <c r="J667" s="13" t="n">
        <v>27.07</v>
      </c>
      <c r="K667" s="16" t="n">
        <v>26</v>
      </c>
      <c r="L667" t="inlineStr">
        <is>
          <t>Returned</t>
        </is>
      </c>
      <c r="M667" t="inlineStr">
        <is>
          <t>PAY05</t>
        </is>
      </c>
      <c r="N667" t="inlineStr">
        <is>
          <t>Evening</t>
        </is>
      </c>
      <c r="O667">
        <f>INDEX(Products_Catalog!$B$2:$B$151, MATCH(C667, Products_Catalog!$A$2:$A$151, 0))</f>
        <v/>
      </c>
      <c r="P667" s="13">
        <f>INDEX(Products_Catalog!$D$2:$D$151, MATCH(C667, Products_Catalog!$A$2:$A$151, 0))</f>
        <v/>
      </c>
      <c r="Q667" s="13">
        <f>I667-J667</f>
        <v/>
      </c>
      <c r="R667" s="15">
        <f>IF(K667&gt;20, "BREACH", "OK")</f>
        <v/>
      </c>
    </row>
    <row r="668">
      <c r="A668" t="inlineStr">
        <is>
          <t>ORD01769</t>
        </is>
      </c>
      <c r="B668" t="inlineStr">
        <is>
          <t>CUST0044</t>
        </is>
      </c>
      <c r="C668" t="inlineStr">
        <is>
          <t>PROD120</t>
        </is>
      </c>
      <c r="D668" t="inlineStr">
        <is>
          <t>STORE036</t>
        </is>
      </c>
      <c r="E668" t="inlineStr">
        <is>
          <t>DP036</t>
        </is>
      </c>
      <c r="F668" t="inlineStr">
        <is>
          <t>2024-01-22 12:16:00</t>
        </is>
      </c>
      <c r="G668" t="inlineStr">
        <is>
          <t>2024-01-22 12:45:00</t>
        </is>
      </c>
      <c r="H668" s="14" t="n">
        <v>5</v>
      </c>
      <c r="I668" s="13" t="n">
        <v>2006.65</v>
      </c>
      <c r="J668" s="13" t="n">
        <v>198.29</v>
      </c>
      <c r="K668" s="16" t="n">
        <v>29</v>
      </c>
      <c r="L668" t="inlineStr">
        <is>
          <t>Pending</t>
        </is>
      </c>
      <c r="M668" t="inlineStr">
        <is>
          <t>PAY02</t>
        </is>
      </c>
      <c r="N668" t="inlineStr">
        <is>
          <t>Afternoon</t>
        </is>
      </c>
      <c r="O668">
        <f>INDEX(Products_Catalog!$B$2:$B$151, MATCH(C668, Products_Catalog!$A$2:$A$151, 0))</f>
        <v/>
      </c>
      <c r="P668" s="13">
        <f>INDEX(Products_Catalog!$D$2:$D$151, MATCH(C668, Products_Catalog!$A$2:$A$151, 0))</f>
        <v/>
      </c>
      <c r="Q668" s="13">
        <f>I668-J668</f>
        <v/>
      </c>
      <c r="R668" s="15">
        <f>IF(K668&gt;20, "BREACH", "OK")</f>
        <v/>
      </c>
    </row>
    <row r="669">
      <c r="A669" t="inlineStr">
        <is>
          <t>ORD01770</t>
        </is>
      </c>
      <c r="B669" t="inlineStr">
        <is>
          <t>CUST0025</t>
        </is>
      </c>
      <c r="C669" t="inlineStr">
        <is>
          <t>PROD110</t>
        </is>
      </c>
      <c r="D669" t="inlineStr">
        <is>
          <t>STORE003</t>
        </is>
      </c>
      <c r="E669" t="inlineStr">
        <is>
          <t>DP002</t>
        </is>
      </c>
      <c r="F669" t="inlineStr">
        <is>
          <t>2024-12-22 17:29:00</t>
        </is>
      </c>
      <c r="G669" t="inlineStr">
        <is>
          <t>2024-12-22 17:59:00</t>
        </is>
      </c>
      <c r="H669" s="14" t="n">
        <v>5</v>
      </c>
      <c r="I669" s="13" t="n">
        <v>1577.65</v>
      </c>
      <c r="J669" s="13" t="n">
        <v>205.27</v>
      </c>
      <c r="K669" s="16" t="n">
        <v>30</v>
      </c>
      <c r="L669" t="inlineStr">
        <is>
          <t>Shipped</t>
        </is>
      </c>
      <c r="M669" t="inlineStr">
        <is>
          <t>PAY01</t>
        </is>
      </c>
      <c r="N669" t="inlineStr">
        <is>
          <t>Evening</t>
        </is>
      </c>
      <c r="O669">
        <f>INDEX(Products_Catalog!$B$2:$B$151, MATCH(C669, Products_Catalog!$A$2:$A$151, 0))</f>
        <v/>
      </c>
      <c r="P669" s="13">
        <f>INDEX(Products_Catalog!$D$2:$D$151, MATCH(C669, Products_Catalog!$A$2:$A$151, 0))</f>
        <v/>
      </c>
      <c r="Q669" s="13">
        <f>I669-J669</f>
        <v/>
      </c>
      <c r="R669" s="15">
        <f>IF(K669&gt;20, "BREACH", "OK")</f>
        <v/>
      </c>
    </row>
    <row r="670">
      <c r="A670" t="inlineStr">
        <is>
          <t>ORD01771</t>
        </is>
      </c>
      <c r="B670" t="inlineStr">
        <is>
          <t>CUST0048</t>
        </is>
      </c>
      <c r="C670" t="inlineStr">
        <is>
          <t>PROD063</t>
        </is>
      </c>
      <c r="D670" t="inlineStr">
        <is>
          <t>STORE026</t>
        </is>
      </c>
      <c r="E670" t="inlineStr">
        <is>
          <t>DP046</t>
        </is>
      </c>
      <c r="F670" t="inlineStr">
        <is>
          <t>2024-08-10 10:34:00</t>
        </is>
      </c>
      <c r="G670" t="inlineStr">
        <is>
          <t>2024-08-10 10:44:00</t>
        </is>
      </c>
      <c r="H670" s="14" t="n">
        <v>3</v>
      </c>
      <c r="I670" s="13" t="n">
        <v>900.6900000000001</v>
      </c>
      <c r="J670" s="13" t="n">
        <v>228.32</v>
      </c>
      <c r="K670" s="16" t="n">
        <v>10</v>
      </c>
      <c r="L670" t="inlineStr">
        <is>
          <t>Returned</t>
        </is>
      </c>
      <c r="M670" t="inlineStr">
        <is>
          <t>PAY02</t>
        </is>
      </c>
      <c r="N670" t="inlineStr">
        <is>
          <t>Morning</t>
        </is>
      </c>
      <c r="O670">
        <f>INDEX(Products_Catalog!$B$2:$B$151, MATCH(C670, Products_Catalog!$A$2:$A$151, 0))</f>
        <v/>
      </c>
      <c r="P670" s="13">
        <f>INDEX(Products_Catalog!$D$2:$D$151, MATCH(C670, Products_Catalog!$A$2:$A$151, 0))</f>
        <v/>
      </c>
      <c r="Q670" s="13">
        <f>I670-J670</f>
        <v/>
      </c>
      <c r="R670" s="15">
        <f>IF(K670&gt;20, "BREACH", "OK")</f>
        <v/>
      </c>
    </row>
    <row r="671">
      <c r="A671" t="inlineStr">
        <is>
          <t>ORD01773</t>
        </is>
      </c>
      <c r="B671" t="inlineStr">
        <is>
          <t>CUST0017</t>
        </is>
      </c>
      <c r="C671" t="inlineStr">
        <is>
          <t>PROD091</t>
        </is>
      </c>
      <c r="D671" t="inlineStr">
        <is>
          <t>STORE042</t>
        </is>
      </c>
      <c r="E671" t="inlineStr">
        <is>
          <t>DP036</t>
        </is>
      </c>
      <c r="F671" t="inlineStr">
        <is>
          <t>2024-04-05 12:35:00</t>
        </is>
      </c>
      <c r="G671" t="inlineStr">
        <is>
          <t>2024-04-05 12:58:00</t>
        </is>
      </c>
      <c r="H671" s="14" t="n">
        <v>3</v>
      </c>
      <c r="I671" s="13" t="n">
        <v>206.43</v>
      </c>
      <c r="J671" s="13" t="n">
        <v>53.81</v>
      </c>
      <c r="K671" s="16" t="n">
        <v>23</v>
      </c>
      <c r="L671" t="inlineStr">
        <is>
          <t>Delivered</t>
        </is>
      </c>
      <c r="M671" t="inlineStr">
        <is>
          <t>PAY02</t>
        </is>
      </c>
      <c r="N671" t="inlineStr">
        <is>
          <t>Afternoon</t>
        </is>
      </c>
      <c r="O671">
        <f>INDEX(Products_Catalog!$B$2:$B$151, MATCH(C671, Products_Catalog!$A$2:$A$151, 0))</f>
        <v/>
      </c>
      <c r="P671" s="13">
        <f>INDEX(Products_Catalog!$D$2:$D$151, MATCH(C671, Products_Catalog!$A$2:$A$151, 0))</f>
        <v/>
      </c>
      <c r="Q671" s="13">
        <f>I671-J671</f>
        <v/>
      </c>
      <c r="R671" s="15">
        <f>IF(K671&gt;20, "BREACH", "OK")</f>
        <v/>
      </c>
    </row>
    <row r="672">
      <c r="A672" t="inlineStr">
        <is>
          <t>ORD01775</t>
        </is>
      </c>
      <c r="B672" t="inlineStr">
        <is>
          <t>CUST0048</t>
        </is>
      </c>
      <c r="C672" t="inlineStr">
        <is>
          <t>PROD039</t>
        </is>
      </c>
      <c r="D672" t="inlineStr">
        <is>
          <t>STORE018</t>
        </is>
      </c>
      <c r="E672" t="inlineStr">
        <is>
          <t>DP018</t>
        </is>
      </c>
      <c r="F672" t="inlineStr">
        <is>
          <t>2024-12-30 08:19:00</t>
        </is>
      </c>
      <c r="G672" t="inlineStr">
        <is>
          <t>2024-12-30 08:44:00</t>
        </is>
      </c>
      <c r="H672" s="14" t="n">
        <v>7</v>
      </c>
      <c r="I672" s="13" t="n">
        <v>3045.21</v>
      </c>
      <c r="J672" s="13" t="n">
        <v>274.75</v>
      </c>
      <c r="K672" s="16" t="n">
        <v>25</v>
      </c>
      <c r="L672" t="inlineStr">
        <is>
          <t>Delivered</t>
        </is>
      </c>
      <c r="M672" t="inlineStr">
        <is>
          <t>PAY02</t>
        </is>
      </c>
      <c r="N672" t="inlineStr">
        <is>
          <t>Morning</t>
        </is>
      </c>
      <c r="O672">
        <f>INDEX(Products_Catalog!$B$2:$B$151, MATCH(C672, Products_Catalog!$A$2:$A$151, 0))</f>
        <v/>
      </c>
      <c r="P672" s="13">
        <f>INDEX(Products_Catalog!$D$2:$D$151, MATCH(C672, Products_Catalog!$A$2:$A$151, 0))</f>
        <v/>
      </c>
      <c r="Q672" s="13">
        <f>I672-J672</f>
        <v/>
      </c>
      <c r="R672" s="15">
        <f>IF(K672&gt;20, "BREACH", "OK")</f>
        <v/>
      </c>
    </row>
    <row r="673">
      <c r="A673" t="inlineStr">
        <is>
          <t>ORD01776</t>
        </is>
      </c>
      <c r="B673" t="inlineStr">
        <is>
          <t>CUST0020</t>
        </is>
      </c>
      <c r="C673" t="inlineStr">
        <is>
          <t>PROD025</t>
        </is>
      </c>
      <c r="D673" t="inlineStr">
        <is>
          <t>STORE015</t>
        </is>
      </c>
      <c r="E673" t="inlineStr">
        <is>
          <t>DP025</t>
        </is>
      </c>
      <c r="F673" t="inlineStr">
        <is>
          <t>2025-04-26 12:24:00</t>
        </is>
      </c>
      <c r="G673" t="inlineStr">
        <is>
          <t>2025-04-26 12:50:00</t>
        </is>
      </c>
      <c r="H673" s="14" t="n">
        <v>1</v>
      </c>
      <c r="I673" s="13" t="n">
        <v>344.14</v>
      </c>
      <c r="J673" s="13" t="n">
        <v>37.36</v>
      </c>
      <c r="K673" s="16" t="n">
        <v>26</v>
      </c>
      <c r="L673" t="inlineStr">
        <is>
          <t>Shipped</t>
        </is>
      </c>
      <c r="M673" t="inlineStr">
        <is>
          <t>PAY03</t>
        </is>
      </c>
      <c r="N673" t="inlineStr">
        <is>
          <t>Afternoon</t>
        </is>
      </c>
      <c r="O673">
        <f>INDEX(Products_Catalog!$B$2:$B$151, MATCH(C673, Products_Catalog!$A$2:$A$151, 0))</f>
        <v/>
      </c>
      <c r="P673" s="13">
        <f>INDEX(Products_Catalog!$D$2:$D$151, MATCH(C673, Products_Catalog!$A$2:$A$151, 0))</f>
        <v/>
      </c>
      <c r="Q673" s="13">
        <f>I673-J673</f>
        <v/>
      </c>
      <c r="R673" s="15">
        <f>IF(K673&gt;20, "BREACH", "OK")</f>
        <v/>
      </c>
    </row>
    <row r="674">
      <c r="A674" t="inlineStr">
        <is>
          <t>ORD01777</t>
        </is>
      </c>
      <c r="B674" t="inlineStr">
        <is>
          <t>CUST0006</t>
        </is>
      </c>
      <c r="C674" t="inlineStr">
        <is>
          <t>PROD140</t>
        </is>
      </c>
      <c r="D674" t="inlineStr">
        <is>
          <t>STORE021</t>
        </is>
      </c>
      <c r="E674" t="inlineStr">
        <is>
          <t>DP021</t>
        </is>
      </c>
      <c r="F674" t="inlineStr">
        <is>
          <t>2024-05-14 11:38:00</t>
        </is>
      </c>
      <c r="G674" t="inlineStr">
        <is>
          <t>2024-05-14 12:05:00</t>
        </is>
      </c>
      <c r="H674" s="14" t="n">
        <v>10</v>
      </c>
      <c r="I674" s="13" t="n">
        <v>4961.9</v>
      </c>
      <c r="J674" s="13" t="n">
        <v>449.17</v>
      </c>
      <c r="K674" s="16" t="n">
        <v>27</v>
      </c>
      <c r="L674" t="inlineStr">
        <is>
          <t>Pending</t>
        </is>
      </c>
      <c r="M674" t="inlineStr">
        <is>
          <t>PAY01</t>
        </is>
      </c>
      <c r="N674" t="inlineStr">
        <is>
          <t>Morning</t>
        </is>
      </c>
      <c r="O674">
        <f>INDEX(Products_Catalog!$B$2:$B$151, MATCH(C674, Products_Catalog!$A$2:$A$151, 0))</f>
        <v/>
      </c>
      <c r="P674" s="13">
        <f>INDEX(Products_Catalog!$D$2:$D$151, MATCH(C674, Products_Catalog!$A$2:$A$151, 0))</f>
        <v/>
      </c>
      <c r="Q674" s="13">
        <f>I674-J674</f>
        <v/>
      </c>
      <c r="R674" s="15">
        <f>IF(K674&gt;20, "BREACH", "OK")</f>
        <v/>
      </c>
    </row>
    <row r="675">
      <c r="A675" t="inlineStr">
        <is>
          <t>ORD01778</t>
        </is>
      </c>
      <c r="B675" t="inlineStr">
        <is>
          <t>CUST0042</t>
        </is>
      </c>
      <c r="C675" t="inlineStr">
        <is>
          <t>PROD114</t>
        </is>
      </c>
      <c r="D675" t="inlineStr">
        <is>
          <t>STORE015</t>
        </is>
      </c>
      <c r="E675" t="inlineStr">
        <is>
          <t>DP007</t>
        </is>
      </c>
      <c r="F675" t="inlineStr">
        <is>
          <t>2024-06-28 10:16:00</t>
        </is>
      </c>
      <c r="G675" t="inlineStr">
        <is>
          <t>2024-06-28 10:44:00</t>
        </is>
      </c>
      <c r="H675" s="14" t="n">
        <v>8</v>
      </c>
      <c r="I675" s="13" t="n">
        <v>2843.36</v>
      </c>
      <c r="J675" s="13" t="n">
        <v>202.09</v>
      </c>
      <c r="K675" s="16" t="n">
        <v>28</v>
      </c>
      <c r="L675" t="inlineStr">
        <is>
          <t>Delivered</t>
        </is>
      </c>
      <c r="M675" t="inlineStr">
        <is>
          <t>PAY05</t>
        </is>
      </c>
      <c r="N675" t="inlineStr">
        <is>
          <t>Morning</t>
        </is>
      </c>
      <c r="O675">
        <f>INDEX(Products_Catalog!$B$2:$B$151, MATCH(C675, Products_Catalog!$A$2:$A$151, 0))</f>
        <v/>
      </c>
      <c r="P675" s="13">
        <f>INDEX(Products_Catalog!$D$2:$D$151, MATCH(C675, Products_Catalog!$A$2:$A$151, 0))</f>
        <v/>
      </c>
      <c r="Q675" s="13">
        <f>I675-J675</f>
        <v/>
      </c>
      <c r="R675" s="15">
        <f>IF(K675&gt;20, "BREACH", "OK")</f>
        <v/>
      </c>
    </row>
    <row r="676">
      <c r="A676" t="inlineStr">
        <is>
          <t>ORD01779</t>
        </is>
      </c>
      <c r="B676" t="inlineStr">
        <is>
          <t>CUST0033</t>
        </is>
      </c>
      <c r="C676" t="inlineStr">
        <is>
          <t>PROD034</t>
        </is>
      </c>
      <c r="D676" t="inlineStr">
        <is>
          <t>STORE022</t>
        </is>
      </c>
      <c r="E676" t="inlineStr">
        <is>
          <t>DP032</t>
        </is>
      </c>
      <c r="F676" t="inlineStr">
        <is>
          <t>2024-03-18 11:12:00</t>
        </is>
      </c>
      <c r="G676" t="inlineStr">
        <is>
          <t>2024-03-18 11:41:00</t>
        </is>
      </c>
      <c r="H676" s="14" t="n">
        <v>10</v>
      </c>
      <c r="I676" s="13" t="n">
        <v>4578.8</v>
      </c>
      <c r="J676" s="13" t="n">
        <v>622.55</v>
      </c>
      <c r="K676" s="16" t="n">
        <v>29</v>
      </c>
      <c r="L676" t="inlineStr">
        <is>
          <t>Cancelled</t>
        </is>
      </c>
      <c r="M676" t="inlineStr">
        <is>
          <t>PAY01</t>
        </is>
      </c>
      <c r="N676" t="inlineStr">
        <is>
          <t>Morning</t>
        </is>
      </c>
      <c r="O676">
        <f>INDEX(Products_Catalog!$B$2:$B$151, MATCH(C676, Products_Catalog!$A$2:$A$151, 0))</f>
        <v/>
      </c>
      <c r="P676" s="13">
        <f>INDEX(Products_Catalog!$D$2:$D$151, MATCH(C676, Products_Catalog!$A$2:$A$151, 0))</f>
        <v/>
      </c>
      <c r="Q676" s="13">
        <f>I676-J676</f>
        <v/>
      </c>
      <c r="R676" s="15">
        <f>IF(K676&gt;20, "BREACH", "OK")</f>
        <v/>
      </c>
    </row>
    <row r="677">
      <c r="A677" t="inlineStr">
        <is>
          <t>ORD01780</t>
        </is>
      </c>
      <c r="B677" t="inlineStr">
        <is>
          <t>CUST0050</t>
        </is>
      </c>
      <c r="C677" t="inlineStr">
        <is>
          <t>PROD110</t>
        </is>
      </c>
      <c r="D677" t="inlineStr">
        <is>
          <t>STORE038</t>
        </is>
      </c>
      <c r="E677" t="inlineStr">
        <is>
          <t>DP047</t>
        </is>
      </c>
      <c r="F677" t="inlineStr">
        <is>
          <t>2024-11-27 17:50:00</t>
        </is>
      </c>
      <c r="G677" t="inlineStr">
        <is>
          <t>2024-11-27 18:20:00</t>
        </is>
      </c>
      <c r="H677" s="14" t="n">
        <v>8</v>
      </c>
      <c r="I677" s="13" t="n">
        <v>3594</v>
      </c>
      <c r="J677" s="13" t="n">
        <v>66.26000000000001</v>
      </c>
      <c r="K677" s="16" t="n">
        <v>30</v>
      </c>
      <c r="L677" t="inlineStr">
        <is>
          <t>Pending</t>
        </is>
      </c>
      <c r="M677" t="inlineStr">
        <is>
          <t>PAY05</t>
        </is>
      </c>
      <c r="N677" t="inlineStr">
        <is>
          <t>Evening</t>
        </is>
      </c>
      <c r="O677">
        <f>INDEX(Products_Catalog!$B$2:$B$151, MATCH(C677, Products_Catalog!$A$2:$A$151, 0))</f>
        <v/>
      </c>
      <c r="P677" s="13">
        <f>INDEX(Products_Catalog!$D$2:$D$151, MATCH(C677, Products_Catalog!$A$2:$A$151, 0))</f>
        <v/>
      </c>
      <c r="Q677" s="13">
        <f>I677-J677</f>
        <v/>
      </c>
      <c r="R677" s="15">
        <f>IF(K677&gt;20, "BREACH", "OK")</f>
        <v/>
      </c>
    </row>
    <row r="678">
      <c r="A678" t="inlineStr">
        <is>
          <t>ORD01781</t>
        </is>
      </c>
      <c r="B678" t="inlineStr">
        <is>
          <t>CUST0004</t>
        </is>
      </c>
      <c r="C678" t="inlineStr">
        <is>
          <t>PROD149</t>
        </is>
      </c>
      <c r="D678" t="inlineStr">
        <is>
          <t>STORE042</t>
        </is>
      </c>
      <c r="E678" t="inlineStr">
        <is>
          <t>DP021</t>
        </is>
      </c>
      <c r="F678" t="inlineStr">
        <is>
          <t>2024-03-24 12:18:00</t>
        </is>
      </c>
      <c r="G678" t="inlineStr">
        <is>
          <t>2024-03-24 12:30:00</t>
        </is>
      </c>
      <c r="H678" s="14" t="n">
        <v>4</v>
      </c>
      <c r="I678" s="13" t="n">
        <v>785.36</v>
      </c>
      <c r="J678" s="13" t="n">
        <v>73.92</v>
      </c>
      <c r="K678" s="16" t="n">
        <v>12</v>
      </c>
      <c r="L678" t="inlineStr">
        <is>
          <t>Cancelled</t>
        </is>
      </c>
      <c r="M678" t="inlineStr">
        <is>
          <t>PAY02</t>
        </is>
      </c>
      <c r="N678" t="inlineStr">
        <is>
          <t>Afternoon</t>
        </is>
      </c>
      <c r="O678">
        <f>INDEX(Products_Catalog!$B$2:$B$151, MATCH(C678, Products_Catalog!$A$2:$A$151, 0))</f>
        <v/>
      </c>
      <c r="P678" s="13">
        <f>INDEX(Products_Catalog!$D$2:$D$151, MATCH(C678, Products_Catalog!$A$2:$A$151, 0))</f>
        <v/>
      </c>
      <c r="Q678" s="13">
        <f>I678-J678</f>
        <v/>
      </c>
      <c r="R678" s="15">
        <f>IF(K678&gt;20, "BREACH", "OK")</f>
        <v/>
      </c>
    </row>
    <row r="679">
      <c r="A679" t="inlineStr">
        <is>
          <t>ORD01782</t>
        </is>
      </c>
      <c r="B679" t="inlineStr">
        <is>
          <t>CUST0003</t>
        </is>
      </c>
      <c r="C679" t="inlineStr">
        <is>
          <t>PROD125</t>
        </is>
      </c>
      <c r="D679" t="inlineStr">
        <is>
          <t>STORE019</t>
        </is>
      </c>
      <c r="E679" t="inlineStr">
        <is>
          <t>DP014</t>
        </is>
      </c>
      <c r="F679" t="inlineStr">
        <is>
          <t>2024-03-14 18:49:00</t>
        </is>
      </c>
      <c r="G679" t="inlineStr">
        <is>
          <t>2024-03-14 19:03:00</t>
        </is>
      </c>
      <c r="H679" s="14" t="n">
        <v>2</v>
      </c>
      <c r="I679" s="13" t="n">
        <v>279.54</v>
      </c>
      <c r="J679" s="13" t="n">
        <v>2.59</v>
      </c>
      <c r="K679" s="16" t="n">
        <v>14</v>
      </c>
      <c r="L679" t="inlineStr">
        <is>
          <t>Shipped</t>
        </is>
      </c>
      <c r="M679" t="inlineStr">
        <is>
          <t>PAY01</t>
        </is>
      </c>
      <c r="N679" t="inlineStr">
        <is>
          <t>Evening</t>
        </is>
      </c>
      <c r="O679">
        <f>INDEX(Products_Catalog!$B$2:$B$151, MATCH(C679, Products_Catalog!$A$2:$A$151, 0))</f>
        <v/>
      </c>
      <c r="P679" s="13">
        <f>INDEX(Products_Catalog!$D$2:$D$151, MATCH(C679, Products_Catalog!$A$2:$A$151, 0))</f>
        <v/>
      </c>
      <c r="Q679" s="13">
        <f>I679-J679</f>
        <v/>
      </c>
      <c r="R679" s="15">
        <f>IF(K679&gt;20, "BREACH", "OK")</f>
        <v/>
      </c>
    </row>
    <row r="680">
      <c r="A680" t="inlineStr">
        <is>
          <t>ORD01785</t>
        </is>
      </c>
      <c r="B680" t="inlineStr">
        <is>
          <t>CUST0036</t>
        </is>
      </c>
      <c r="C680" t="inlineStr">
        <is>
          <t>PROD005</t>
        </is>
      </c>
      <c r="D680" t="inlineStr">
        <is>
          <t>STORE003</t>
        </is>
      </c>
      <c r="E680" t="inlineStr">
        <is>
          <t>DP036</t>
        </is>
      </c>
      <c r="F680" t="inlineStr">
        <is>
          <t>2025-04-30 14:13:00</t>
        </is>
      </c>
      <c r="G680" t="inlineStr">
        <is>
          <t>2025-04-30 14:31:00</t>
        </is>
      </c>
      <c r="H680" s="14" t="n">
        <v>4</v>
      </c>
      <c r="I680" s="13" t="n">
        <v>640.76</v>
      </c>
      <c r="J680" s="13" t="n">
        <v>135.78</v>
      </c>
      <c r="K680" s="16" t="n">
        <v>18</v>
      </c>
      <c r="L680" t="inlineStr">
        <is>
          <t>Cancelled</t>
        </is>
      </c>
      <c r="M680" t="inlineStr">
        <is>
          <t>PAY03</t>
        </is>
      </c>
      <c r="N680" t="inlineStr">
        <is>
          <t>Afternoon</t>
        </is>
      </c>
      <c r="O680">
        <f>INDEX(Products_Catalog!$B$2:$B$151, MATCH(C680, Products_Catalog!$A$2:$A$151, 0))</f>
        <v/>
      </c>
      <c r="P680" s="13">
        <f>INDEX(Products_Catalog!$D$2:$D$151, MATCH(C680, Products_Catalog!$A$2:$A$151, 0))</f>
        <v/>
      </c>
      <c r="Q680" s="13">
        <f>I680-J680</f>
        <v/>
      </c>
      <c r="R680" s="15">
        <f>IF(K680&gt;20, "BREACH", "OK")</f>
        <v/>
      </c>
    </row>
    <row r="681">
      <c r="A681" t="inlineStr">
        <is>
          <t>ORD01786</t>
        </is>
      </c>
      <c r="B681" t="inlineStr">
        <is>
          <t>CUST0031</t>
        </is>
      </c>
      <c r="C681" t="inlineStr">
        <is>
          <t>PROD104</t>
        </is>
      </c>
      <c r="D681" t="inlineStr">
        <is>
          <t>STORE014</t>
        </is>
      </c>
      <c r="E681" t="inlineStr">
        <is>
          <t>DP046</t>
        </is>
      </c>
      <c r="F681" t="inlineStr">
        <is>
          <t>2025-03-22 20:06:00</t>
        </is>
      </c>
      <c r="G681" t="inlineStr">
        <is>
          <t>2025-03-22 20:25:00</t>
        </is>
      </c>
      <c r="H681" s="14" t="n">
        <v>7</v>
      </c>
      <c r="I681" s="13" t="n">
        <v>2769.97</v>
      </c>
      <c r="J681" s="13" t="n">
        <v>665.95</v>
      </c>
      <c r="K681" s="16" t="n">
        <v>19</v>
      </c>
      <c r="L681" t="inlineStr">
        <is>
          <t>Returned</t>
        </is>
      </c>
      <c r="M681" t="inlineStr">
        <is>
          <t>PAY05</t>
        </is>
      </c>
      <c r="N681" t="inlineStr">
        <is>
          <t>Evening</t>
        </is>
      </c>
      <c r="O681">
        <f>INDEX(Products_Catalog!$B$2:$B$151, MATCH(C681, Products_Catalog!$A$2:$A$151, 0))</f>
        <v/>
      </c>
      <c r="P681" s="13">
        <f>INDEX(Products_Catalog!$D$2:$D$151, MATCH(C681, Products_Catalog!$A$2:$A$151, 0))</f>
        <v/>
      </c>
      <c r="Q681" s="13">
        <f>I681-J681</f>
        <v/>
      </c>
      <c r="R681" s="15">
        <f>IF(K681&gt;20, "BREACH", "OK")</f>
        <v/>
      </c>
    </row>
    <row r="682">
      <c r="A682" t="inlineStr">
        <is>
          <t>ORD01787</t>
        </is>
      </c>
      <c r="B682" t="inlineStr">
        <is>
          <t>CUST0049</t>
        </is>
      </c>
      <c r="C682" t="inlineStr">
        <is>
          <t>PROD140</t>
        </is>
      </c>
      <c r="D682" t="inlineStr">
        <is>
          <t>STORE005</t>
        </is>
      </c>
      <c r="E682" t="inlineStr">
        <is>
          <t>DP029</t>
        </is>
      </c>
      <c r="F682" t="inlineStr">
        <is>
          <t>2024-02-28 10:54:00</t>
        </is>
      </c>
      <c r="G682" t="inlineStr">
        <is>
          <t>2024-02-28 11:14:00</t>
        </is>
      </c>
      <c r="H682" s="14" t="n">
        <v>2</v>
      </c>
      <c r="I682" s="13" t="n">
        <v>929.88</v>
      </c>
      <c r="J682" s="13" t="n">
        <v>139.9</v>
      </c>
      <c r="K682" s="16" t="n">
        <v>20</v>
      </c>
      <c r="L682" t="inlineStr">
        <is>
          <t>Delivered</t>
        </is>
      </c>
      <c r="M682" t="inlineStr">
        <is>
          <t>PAY03</t>
        </is>
      </c>
      <c r="N682" t="inlineStr">
        <is>
          <t>Morning</t>
        </is>
      </c>
      <c r="O682">
        <f>INDEX(Products_Catalog!$B$2:$B$151, MATCH(C682, Products_Catalog!$A$2:$A$151, 0))</f>
        <v/>
      </c>
      <c r="P682" s="13">
        <f>INDEX(Products_Catalog!$D$2:$D$151, MATCH(C682, Products_Catalog!$A$2:$A$151, 0))</f>
        <v/>
      </c>
      <c r="Q682" s="13">
        <f>I682-J682</f>
        <v/>
      </c>
      <c r="R682" s="15">
        <f>IF(K682&gt;20, "BREACH", "OK")</f>
        <v/>
      </c>
    </row>
    <row r="683">
      <c r="A683" t="inlineStr">
        <is>
          <t>ORD01788</t>
        </is>
      </c>
      <c r="B683" t="inlineStr">
        <is>
          <t>CUST0017</t>
        </is>
      </c>
      <c r="C683" t="inlineStr">
        <is>
          <t>PROD142</t>
        </is>
      </c>
      <c r="D683" t="inlineStr">
        <is>
          <t>STORE024</t>
        </is>
      </c>
      <c r="E683" t="inlineStr">
        <is>
          <t>DP007</t>
        </is>
      </c>
      <c r="F683" t="inlineStr">
        <is>
          <t>2024-04-10 15:42:00</t>
        </is>
      </c>
      <c r="G683" t="inlineStr">
        <is>
          <t>2024-04-10 16:03:00</t>
        </is>
      </c>
      <c r="H683" s="14" t="n">
        <v>1</v>
      </c>
      <c r="I683" s="13" t="n">
        <v>492.34</v>
      </c>
      <c r="J683" s="13" t="n">
        <v>76.70999999999999</v>
      </c>
      <c r="K683" s="16" t="n">
        <v>21</v>
      </c>
      <c r="L683" t="inlineStr">
        <is>
          <t>Shipped</t>
        </is>
      </c>
      <c r="M683" t="inlineStr">
        <is>
          <t>PAY01</t>
        </is>
      </c>
      <c r="N683" t="inlineStr">
        <is>
          <t>Afternoon</t>
        </is>
      </c>
      <c r="O683">
        <f>INDEX(Products_Catalog!$B$2:$B$151, MATCH(C683, Products_Catalog!$A$2:$A$151, 0))</f>
        <v/>
      </c>
      <c r="P683" s="13">
        <f>INDEX(Products_Catalog!$D$2:$D$151, MATCH(C683, Products_Catalog!$A$2:$A$151, 0))</f>
        <v/>
      </c>
      <c r="Q683" s="13">
        <f>I683-J683</f>
        <v/>
      </c>
      <c r="R683" s="15">
        <f>IF(K683&gt;20, "BREACH", "OK")</f>
        <v/>
      </c>
    </row>
    <row r="684">
      <c r="A684" t="inlineStr">
        <is>
          <t>ORD01789</t>
        </is>
      </c>
      <c r="B684" t="inlineStr">
        <is>
          <t>CUST0012</t>
        </is>
      </c>
      <c r="C684" t="inlineStr">
        <is>
          <t>PROD121</t>
        </is>
      </c>
      <c r="D684" t="inlineStr">
        <is>
          <t>STORE011</t>
        </is>
      </c>
      <c r="E684" t="inlineStr">
        <is>
          <t>DP013</t>
        </is>
      </c>
      <c r="F684" t="inlineStr">
        <is>
          <t>2025-03-24 11:19:00</t>
        </is>
      </c>
      <c r="G684" t="inlineStr">
        <is>
          <t>2025-03-24 11:41:00</t>
        </is>
      </c>
      <c r="H684" s="14" t="n">
        <v>4</v>
      </c>
      <c r="I684" s="13" t="n">
        <v>882.4400000000001</v>
      </c>
      <c r="J684" s="13" t="n">
        <v>144.58</v>
      </c>
      <c r="K684" s="16" t="n">
        <v>22</v>
      </c>
      <c r="L684" t="inlineStr">
        <is>
          <t>Delivered</t>
        </is>
      </c>
      <c r="M684" t="inlineStr">
        <is>
          <t>PAY03</t>
        </is>
      </c>
      <c r="N684" t="inlineStr">
        <is>
          <t>Morning</t>
        </is>
      </c>
      <c r="O684">
        <f>INDEX(Products_Catalog!$B$2:$B$151, MATCH(C684, Products_Catalog!$A$2:$A$151, 0))</f>
        <v/>
      </c>
      <c r="P684" s="13">
        <f>INDEX(Products_Catalog!$D$2:$D$151, MATCH(C684, Products_Catalog!$A$2:$A$151, 0))</f>
        <v/>
      </c>
      <c r="Q684" s="13">
        <f>I684-J684</f>
        <v/>
      </c>
      <c r="R684" s="15">
        <f>IF(K684&gt;20, "BREACH", "OK")</f>
        <v/>
      </c>
    </row>
    <row r="685">
      <c r="A685" t="inlineStr">
        <is>
          <t>ORD01790</t>
        </is>
      </c>
      <c r="B685" t="inlineStr">
        <is>
          <t>CUST0011</t>
        </is>
      </c>
      <c r="C685" t="inlineStr">
        <is>
          <t>PROD077</t>
        </is>
      </c>
      <c r="D685" t="inlineStr">
        <is>
          <t>STORE024</t>
        </is>
      </c>
      <c r="E685" t="inlineStr">
        <is>
          <t>DP029</t>
        </is>
      </c>
      <c r="F685" t="inlineStr">
        <is>
          <t>2025-06-20 17:36:00</t>
        </is>
      </c>
      <c r="G685" t="inlineStr">
        <is>
          <t>2025-06-20 17:59:00</t>
        </is>
      </c>
      <c r="H685" s="14" t="n">
        <v>3</v>
      </c>
      <c r="I685" s="13" t="n">
        <v>357.51</v>
      </c>
      <c r="J685" s="13" t="n">
        <v>49.62</v>
      </c>
      <c r="K685" s="16" t="n">
        <v>23</v>
      </c>
      <c r="L685" t="inlineStr">
        <is>
          <t>Pending</t>
        </is>
      </c>
      <c r="M685" t="inlineStr">
        <is>
          <t>PAY02</t>
        </is>
      </c>
      <c r="N685" t="inlineStr">
        <is>
          <t>Evening</t>
        </is>
      </c>
      <c r="O685">
        <f>INDEX(Products_Catalog!$B$2:$B$151, MATCH(C685, Products_Catalog!$A$2:$A$151, 0))</f>
        <v/>
      </c>
      <c r="P685" s="13">
        <f>INDEX(Products_Catalog!$D$2:$D$151, MATCH(C685, Products_Catalog!$A$2:$A$151, 0))</f>
        <v/>
      </c>
      <c r="Q685" s="13">
        <f>I685-J685</f>
        <v/>
      </c>
      <c r="R685" s="15">
        <f>IF(K685&gt;20, "BREACH", "OK")</f>
        <v/>
      </c>
    </row>
    <row r="686">
      <c r="A686" t="inlineStr">
        <is>
          <t>ORD01791</t>
        </is>
      </c>
      <c r="B686" t="inlineStr">
        <is>
          <t>CUST0034</t>
        </is>
      </c>
      <c r="C686" t="inlineStr">
        <is>
          <t>PROD080</t>
        </is>
      </c>
      <c r="D686" t="inlineStr">
        <is>
          <t>STORE035</t>
        </is>
      </c>
      <c r="E686" t="inlineStr">
        <is>
          <t>DP012</t>
        </is>
      </c>
      <c r="F686" t="inlineStr">
        <is>
          <t>2025-02-28 12:19:00</t>
        </is>
      </c>
      <c r="G686" t="inlineStr">
        <is>
          <t>2025-02-28 12:43:00</t>
        </is>
      </c>
      <c r="H686" s="14" t="n">
        <v>7</v>
      </c>
      <c r="I686" s="13" t="n">
        <v>763.98</v>
      </c>
      <c r="J686" s="13" t="n">
        <v>63.43</v>
      </c>
      <c r="K686" s="16" t="n">
        <v>24</v>
      </c>
      <c r="L686" t="inlineStr">
        <is>
          <t>Pending</t>
        </is>
      </c>
      <c r="M686" t="inlineStr">
        <is>
          <t>PAY04</t>
        </is>
      </c>
      <c r="N686" t="inlineStr">
        <is>
          <t>Afternoon</t>
        </is>
      </c>
      <c r="O686">
        <f>INDEX(Products_Catalog!$B$2:$B$151, MATCH(C686, Products_Catalog!$A$2:$A$151, 0))</f>
        <v/>
      </c>
      <c r="P686" s="13">
        <f>INDEX(Products_Catalog!$D$2:$D$151, MATCH(C686, Products_Catalog!$A$2:$A$151, 0))</f>
        <v/>
      </c>
      <c r="Q686" s="13">
        <f>I686-J686</f>
        <v/>
      </c>
      <c r="R686" s="15">
        <f>IF(K686&gt;20, "BREACH", "OK")</f>
        <v/>
      </c>
    </row>
    <row r="687">
      <c r="A687" t="inlineStr">
        <is>
          <t>ORD01792</t>
        </is>
      </c>
      <c r="B687" t="inlineStr">
        <is>
          <t>CUST0036</t>
        </is>
      </c>
      <c r="C687" t="inlineStr">
        <is>
          <t>PROD097</t>
        </is>
      </c>
      <c r="D687" t="inlineStr">
        <is>
          <t>STORE050</t>
        </is>
      </c>
      <c r="E687" t="inlineStr">
        <is>
          <t>DP010</t>
        </is>
      </c>
      <c r="F687" t="inlineStr">
        <is>
          <t>2024-09-11 17:34:00</t>
        </is>
      </c>
      <c r="G687" t="inlineStr">
        <is>
          <t>2024-09-11 17:59:00</t>
        </is>
      </c>
      <c r="H687" s="14" t="n">
        <v>10</v>
      </c>
      <c r="I687" s="13" t="n">
        <v>4417.1</v>
      </c>
      <c r="J687" s="13" t="n">
        <v>256.05</v>
      </c>
      <c r="K687" s="16" t="n">
        <v>25</v>
      </c>
      <c r="L687" t="inlineStr">
        <is>
          <t>Shipped</t>
        </is>
      </c>
      <c r="M687" t="inlineStr">
        <is>
          <t>PAY04</t>
        </is>
      </c>
      <c r="N687" t="inlineStr">
        <is>
          <t>Evening</t>
        </is>
      </c>
      <c r="O687">
        <f>INDEX(Products_Catalog!$B$2:$B$151, MATCH(C687, Products_Catalog!$A$2:$A$151, 0))</f>
        <v/>
      </c>
      <c r="P687" s="13">
        <f>INDEX(Products_Catalog!$D$2:$D$151, MATCH(C687, Products_Catalog!$A$2:$A$151, 0))</f>
        <v/>
      </c>
      <c r="Q687" s="13">
        <f>I687-J687</f>
        <v/>
      </c>
      <c r="R687" s="15">
        <f>IF(K687&gt;20, "BREACH", "OK")</f>
        <v/>
      </c>
    </row>
    <row r="688">
      <c r="A688" t="inlineStr">
        <is>
          <t>ORD01794</t>
        </is>
      </c>
      <c r="B688" t="inlineStr">
        <is>
          <t>CUST0026</t>
        </is>
      </c>
      <c r="C688" t="inlineStr">
        <is>
          <t>PROD096</t>
        </is>
      </c>
      <c r="D688" t="inlineStr">
        <is>
          <t>STORE023</t>
        </is>
      </c>
      <c r="E688" t="inlineStr">
        <is>
          <t>DP021</t>
        </is>
      </c>
      <c r="F688" t="inlineStr">
        <is>
          <t>2024-01-20 16:25:00</t>
        </is>
      </c>
      <c r="G688" t="inlineStr">
        <is>
          <t>2024-01-20 16:52:00</t>
        </is>
      </c>
      <c r="H688" s="14" t="n">
        <v>7</v>
      </c>
      <c r="I688" s="13" t="n">
        <v>1870.61</v>
      </c>
      <c r="J688" s="13" t="n">
        <v>167.62</v>
      </c>
      <c r="K688" s="16" t="n">
        <v>27</v>
      </c>
      <c r="L688" t="inlineStr">
        <is>
          <t>Shipped</t>
        </is>
      </c>
      <c r="M688" t="inlineStr">
        <is>
          <t>PAY02</t>
        </is>
      </c>
      <c r="N688" t="inlineStr">
        <is>
          <t>Afternoon</t>
        </is>
      </c>
      <c r="O688">
        <f>INDEX(Products_Catalog!$B$2:$B$151, MATCH(C688, Products_Catalog!$A$2:$A$151, 0))</f>
        <v/>
      </c>
      <c r="P688" s="13">
        <f>INDEX(Products_Catalog!$D$2:$D$151, MATCH(C688, Products_Catalog!$A$2:$A$151, 0))</f>
        <v/>
      </c>
      <c r="Q688" s="13">
        <f>I688-J688</f>
        <v/>
      </c>
      <c r="R688" s="15">
        <f>IF(K688&gt;20, "BREACH", "OK")</f>
        <v/>
      </c>
    </row>
    <row r="689">
      <c r="A689" t="inlineStr">
        <is>
          <t>ORD01795</t>
        </is>
      </c>
      <c r="B689" t="inlineStr">
        <is>
          <t>CUST0008</t>
        </is>
      </c>
      <c r="C689" t="inlineStr">
        <is>
          <t>PROD105</t>
        </is>
      </c>
      <c r="D689" t="inlineStr">
        <is>
          <t>STORE029</t>
        </is>
      </c>
      <c r="E689" t="inlineStr">
        <is>
          <t>DP007</t>
        </is>
      </c>
      <c r="F689" t="inlineStr">
        <is>
          <t>2025-06-28 12:56:00</t>
        </is>
      </c>
      <c r="G689" t="inlineStr">
        <is>
          <t>2025-06-28 13:24:00</t>
        </is>
      </c>
      <c r="H689" s="14" t="n">
        <v>3</v>
      </c>
      <c r="I689" s="13" t="n">
        <v>1056.27</v>
      </c>
      <c r="J689" s="13" t="n">
        <v>18.29</v>
      </c>
      <c r="K689" s="16" t="n">
        <v>28</v>
      </c>
      <c r="L689" t="inlineStr">
        <is>
          <t>Pending</t>
        </is>
      </c>
      <c r="M689" t="inlineStr">
        <is>
          <t>PAY04</t>
        </is>
      </c>
      <c r="N689" t="inlineStr">
        <is>
          <t>Afternoon</t>
        </is>
      </c>
      <c r="O689">
        <f>INDEX(Products_Catalog!$B$2:$B$151, MATCH(C689, Products_Catalog!$A$2:$A$151, 0))</f>
        <v/>
      </c>
      <c r="P689" s="13">
        <f>INDEX(Products_Catalog!$D$2:$D$151, MATCH(C689, Products_Catalog!$A$2:$A$151, 0))</f>
        <v/>
      </c>
      <c r="Q689" s="13">
        <f>I689-J689</f>
        <v/>
      </c>
      <c r="R689" s="15">
        <f>IF(K689&gt;20, "BREACH", "OK")</f>
        <v/>
      </c>
    </row>
    <row r="690">
      <c r="A690" t="inlineStr">
        <is>
          <t>ORD01797</t>
        </is>
      </c>
      <c r="B690" t="inlineStr">
        <is>
          <t>CUST0034</t>
        </is>
      </c>
      <c r="C690" t="inlineStr">
        <is>
          <t>PROD003</t>
        </is>
      </c>
      <c r="D690" t="inlineStr">
        <is>
          <t>STORE039</t>
        </is>
      </c>
      <c r="E690" t="inlineStr">
        <is>
          <t>DP001</t>
        </is>
      </c>
      <c r="F690" t="inlineStr">
        <is>
          <t>2025-04-05 18:03:00</t>
        </is>
      </c>
      <c r="G690" t="inlineStr">
        <is>
          <t>2025-04-05 18:33:00</t>
        </is>
      </c>
      <c r="H690" s="14" t="n">
        <v>1</v>
      </c>
      <c r="I690" s="13" t="n">
        <v>164.82</v>
      </c>
      <c r="J690" s="13" t="n">
        <v>32.45</v>
      </c>
      <c r="K690" s="16" t="n">
        <v>30</v>
      </c>
      <c r="L690" t="inlineStr">
        <is>
          <t>Cancelled</t>
        </is>
      </c>
      <c r="M690" t="inlineStr">
        <is>
          <t>PAY05</t>
        </is>
      </c>
      <c r="N690" t="inlineStr">
        <is>
          <t>Evening</t>
        </is>
      </c>
      <c r="O690">
        <f>INDEX(Products_Catalog!$B$2:$B$151, MATCH(C690, Products_Catalog!$A$2:$A$151, 0))</f>
        <v/>
      </c>
      <c r="P690" s="13">
        <f>INDEX(Products_Catalog!$D$2:$D$151, MATCH(C690, Products_Catalog!$A$2:$A$151, 0))</f>
        <v/>
      </c>
      <c r="Q690" s="13">
        <f>I690-J690</f>
        <v/>
      </c>
      <c r="R690" s="15">
        <f>IF(K690&gt;20, "BREACH", "OK")</f>
        <v/>
      </c>
    </row>
    <row r="691">
      <c r="A691" t="inlineStr">
        <is>
          <t>ORD01798</t>
        </is>
      </c>
      <c r="B691" t="inlineStr">
        <is>
          <t>CUST0014</t>
        </is>
      </c>
      <c r="C691" t="inlineStr">
        <is>
          <t>PROD001</t>
        </is>
      </c>
      <c r="D691" t="inlineStr">
        <is>
          <t>STORE049</t>
        </is>
      </c>
      <c r="E691" t="inlineStr">
        <is>
          <t>DP009</t>
        </is>
      </c>
      <c r="F691" t="inlineStr">
        <is>
          <t>2024-09-04 15:31:00</t>
        </is>
      </c>
      <c r="G691" t="inlineStr">
        <is>
          <t>2024-09-04 15:41:00</t>
        </is>
      </c>
      <c r="H691" s="14" t="n">
        <v>6</v>
      </c>
      <c r="I691" s="13" t="n">
        <v>1236.9</v>
      </c>
      <c r="J691" s="13" t="n">
        <v>283.03</v>
      </c>
      <c r="K691" s="16" t="n">
        <v>10</v>
      </c>
      <c r="L691" t="inlineStr">
        <is>
          <t>Returned</t>
        </is>
      </c>
      <c r="M691" t="inlineStr">
        <is>
          <t>PAY03</t>
        </is>
      </c>
      <c r="N691" t="inlineStr">
        <is>
          <t>Afternoon</t>
        </is>
      </c>
      <c r="O691">
        <f>INDEX(Products_Catalog!$B$2:$B$151, MATCH(C691, Products_Catalog!$A$2:$A$151, 0))</f>
        <v/>
      </c>
      <c r="P691" s="13">
        <f>INDEX(Products_Catalog!$D$2:$D$151, MATCH(C691, Products_Catalog!$A$2:$A$151, 0))</f>
        <v/>
      </c>
      <c r="Q691" s="13">
        <f>I691-J691</f>
        <v/>
      </c>
      <c r="R691" s="15">
        <f>IF(K691&gt;20, "BREACH", "OK")</f>
        <v/>
      </c>
    </row>
    <row r="692">
      <c r="A692" t="inlineStr">
        <is>
          <t>ORD01799</t>
        </is>
      </c>
      <c r="B692" t="inlineStr">
        <is>
          <t>CUST0002</t>
        </is>
      </c>
      <c r="C692" t="inlineStr">
        <is>
          <t>PROD126</t>
        </is>
      </c>
      <c r="D692" t="inlineStr">
        <is>
          <t>STORE006</t>
        </is>
      </c>
      <c r="E692" t="inlineStr">
        <is>
          <t>DP048</t>
        </is>
      </c>
      <c r="F692" t="inlineStr">
        <is>
          <t>2024-10-28 18:28:00</t>
        </is>
      </c>
      <c r="G692" t="inlineStr">
        <is>
          <t>2024-10-28 18:39:00</t>
        </is>
      </c>
      <c r="H692" s="14" t="n">
        <v>8</v>
      </c>
      <c r="I692" s="13" t="n">
        <v>951.2</v>
      </c>
      <c r="J692" s="13" t="n">
        <v>248.21</v>
      </c>
      <c r="K692" s="16" t="n">
        <v>11</v>
      </c>
      <c r="L692" t="inlineStr">
        <is>
          <t>Cancelled</t>
        </is>
      </c>
      <c r="M692" t="inlineStr">
        <is>
          <t>PAY04</t>
        </is>
      </c>
      <c r="N692" t="inlineStr">
        <is>
          <t>Evening</t>
        </is>
      </c>
      <c r="O692">
        <f>INDEX(Products_Catalog!$B$2:$B$151, MATCH(C692, Products_Catalog!$A$2:$A$151, 0))</f>
        <v/>
      </c>
      <c r="P692" s="13">
        <f>INDEX(Products_Catalog!$D$2:$D$151, MATCH(C692, Products_Catalog!$A$2:$A$151, 0))</f>
        <v/>
      </c>
      <c r="Q692" s="13">
        <f>I692-J692</f>
        <v/>
      </c>
      <c r="R692" s="15">
        <f>IF(K692&gt;20, "BREACH", "OK")</f>
        <v/>
      </c>
    </row>
    <row r="693">
      <c r="A693" t="inlineStr">
        <is>
          <t>ORD01800</t>
        </is>
      </c>
      <c r="B693" t="inlineStr">
        <is>
          <t>CUST0001</t>
        </is>
      </c>
      <c r="C693" t="inlineStr">
        <is>
          <t>PROD057</t>
        </is>
      </c>
      <c r="D693" t="inlineStr">
        <is>
          <t>STORE007</t>
        </is>
      </c>
      <c r="E693" t="inlineStr">
        <is>
          <t>DP020</t>
        </is>
      </c>
      <c r="F693" t="inlineStr">
        <is>
          <t>2024-03-13 19:37:00</t>
        </is>
      </c>
      <c r="G693" t="inlineStr">
        <is>
          <t>2024-03-13 19:49:00</t>
        </is>
      </c>
      <c r="H693" s="14" t="n">
        <v>5</v>
      </c>
      <c r="I693" s="13" t="n">
        <v>1744.05</v>
      </c>
      <c r="J693" s="13" t="n">
        <v>500.71</v>
      </c>
      <c r="K693" s="16" t="n">
        <v>12</v>
      </c>
      <c r="L693" t="inlineStr">
        <is>
          <t>Shipped</t>
        </is>
      </c>
      <c r="M693" t="inlineStr">
        <is>
          <t>PAY01</t>
        </is>
      </c>
      <c r="N693" t="inlineStr">
        <is>
          <t>Evening</t>
        </is>
      </c>
      <c r="O693">
        <f>INDEX(Products_Catalog!$B$2:$B$151, MATCH(C693, Products_Catalog!$A$2:$A$151, 0))</f>
        <v/>
      </c>
      <c r="P693" s="13">
        <f>INDEX(Products_Catalog!$D$2:$D$151, MATCH(C693, Products_Catalog!$A$2:$A$151, 0))</f>
        <v/>
      </c>
      <c r="Q693" s="13">
        <f>I693-J693</f>
        <v/>
      </c>
      <c r="R693" s="15">
        <f>IF(K693&gt;20, "BREACH", "OK")</f>
        <v/>
      </c>
    </row>
    <row r="694">
      <c r="A694" t="inlineStr">
        <is>
          <t>ORD01801</t>
        </is>
      </c>
      <c r="B694" t="inlineStr">
        <is>
          <t>CUST0021</t>
        </is>
      </c>
      <c r="C694" t="inlineStr">
        <is>
          <t>PROD006</t>
        </is>
      </c>
      <c r="D694" t="inlineStr">
        <is>
          <t>STORE020</t>
        </is>
      </c>
      <c r="E694" t="inlineStr">
        <is>
          <t>DP031</t>
        </is>
      </c>
      <c r="F694" t="inlineStr">
        <is>
          <t>2024-10-28 12:40:00</t>
        </is>
      </c>
      <c r="G694" t="inlineStr">
        <is>
          <t>2024-10-28 12:53:00</t>
        </is>
      </c>
      <c r="H694" s="14" t="n">
        <v>9</v>
      </c>
      <c r="I694" s="13" t="n">
        <v>747.99</v>
      </c>
      <c r="J694" s="13" t="n">
        <v>193.64</v>
      </c>
      <c r="K694" s="16" t="n">
        <v>13</v>
      </c>
      <c r="L694" t="inlineStr">
        <is>
          <t>Returned</t>
        </is>
      </c>
      <c r="M694" t="inlineStr">
        <is>
          <t>PAY03</t>
        </is>
      </c>
      <c r="N694" t="inlineStr">
        <is>
          <t>Afternoon</t>
        </is>
      </c>
      <c r="O694">
        <f>INDEX(Products_Catalog!$B$2:$B$151, MATCH(C694, Products_Catalog!$A$2:$A$151, 0))</f>
        <v/>
      </c>
      <c r="P694" s="13">
        <f>INDEX(Products_Catalog!$D$2:$D$151, MATCH(C694, Products_Catalog!$A$2:$A$151, 0))</f>
        <v/>
      </c>
      <c r="Q694" s="13">
        <f>I694-J694</f>
        <v/>
      </c>
      <c r="R694" s="15">
        <f>IF(K694&gt;20, "BREACH", "OK")</f>
        <v/>
      </c>
    </row>
    <row r="695">
      <c r="A695" t="inlineStr">
        <is>
          <t>ORD01802</t>
        </is>
      </c>
      <c r="B695" t="inlineStr">
        <is>
          <t>CUST0032</t>
        </is>
      </c>
      <c r="C695" t="inlineStr">
        <is>
          <t>PROD115</t>
        </is>
      </c>
      <c r="D695" t="inlineStr">
        <is>
          <t>STORE005</t>
        </is>
      </c>
      <c r="E695" t="inlineStr">
        <is>
          <t>DP038</t>
        </is>
      </c>
      <c r="F695" t="inlineStr">
        <is>
          <t>2025-02-09 17:26:00</t>
        </is>
      </c>
      <c r="G695" t="inlineStr">
        <is>
          <t>2025-02-09 17:40:00</t>
        </is>
      </c>
      <c r="H695" s="14" t="n">
        <v>10</v>
      </c>
      <c r="I695" s="13" t="n">
        <v>4966.3</v>
      </c>
      <c r="J695" s="13" t="n">
        <v>851.4</v>
      </c>
      <c r="K695" s="16" t="n">
        <v>14</v>
      </c>
      <c r="L695" t="inlineStr">
        <is>
          <t>Delivered</t>
        </is>
      </c>
      <c r="M695" t="inlineStr">
        <is>
          <t>PAY03</t>
        </is>
      </c>
      <c r="N695" t="inlineStr">
        <is>
          <t>Evening</t>
        </is>
      </c>
      <c r="O695">
        <f>INDEX(Products_Catalog!$B$2:$B$151, MATCH(C695, Products_Catalog!$A$2:$A$151, 0))</f>
        <v/>
      </c>
      <c r="P695" s="13">
        <f>INDEX(Products_Catalog!$D$2:$D$151, MATCH(C695, Products_Catalog!$A$2:$A$151, 0))</f>
        <v/>
      </c>
      <c r="Q695" s="13">
        <f>I695-J695</f>
        <v/>
      </c>
      <c r="R695" s="15">
        <f>IF(K695&gt;20, "BREACH", "OK")</f>
        <v/>
      </c>
    </row>
    <row r="696">
      <c r="A696" t="inlineStr">
        <is>
          <t>ORD01805</t>
        </is>
      </c>
      <c r="B696" t="inlineStr">
        <is>
          <t>CUST0027</t>
        </is>
      </c>
      <c r="C696" t="inlineStr">
        <is>
          <t>PROD147</t>
        </is>
      </c>
      <c r="D696" t="inlineStr">
        <is>
          <t>STORE047</t>
        </is>
      </c>
      <c r="E696" t="inlineStr">
        <is>
          <t>DP009</t>
        </is>
      </c>
      <c r="F696" t="inlineStr">
        <is>
          <t>2024-04-26 08:25:00</t>
        </is>
      </c>
      <c r="G696" t="inlineStr">
        <is>
          <t>2024-04-26 08:42:00</t>
        </is>
      </c>
      <c r="H696" s="14" t="n">
        <v>4</v>
      </c>
      <c r="I696" s="13" t="n">
        <v>1275.72</v>
      </c>
      <c r="J696" s="13" t="n">
        <v>302.15</v>
      </c>
      <c r="K696" s="16" t="n">
        <v>17</v>
      </c>
      <c r="L696" t="inlineStr">
        <is>
          <t>Delivered</t>
        </is>
      </c>
      <c r="M696" t="inlineStr">
        <is>
          <t>PAY04</t>
        </is>
      </c>
      <c r="N696" t="inlineStr">
        <is>
          <t>Morning</t>
        </is>
      </c>
      <c r="O696">
        <f>INDEX(Products_Catalog!$B$2:$B$151, MATCH(C696, Products_Catalog!$A$2:$A$151, 0))</f>
        <v/>
      </c>
      <c r="P696" s="13">
        <f>INDEX(Products_Catalog!$D$2:$D$151, MATCH(C696, Products_Catalog!$A$2:$A$151, 0))</f>
        <v/>
      </c>
      <c r="Q696" s="13">
        <f>I696-J696</f>
        <v/>
      </c>
      <c r="R696" s="15">
        <f>IF(K696&gt;20, "BREACH", "OK")</f>
        <v/>
      </c>
    </row>
    <row r="697">
      <c r="A697" t="inlineStr">
        <is>
          <t>ORD01806</t>
        </is>
      </c>
      <c r="B697" t="inlineStr">
        <is>
          <t>CUST0010</t>
        </is>
      </c>
      <c r="C697" t="inlineStr">
        <is>
          <t>PROD050</t>
        </is>
      </c>
      <c r="D697" t="inlineStr">
        <is>
          <t>STORE043</t>
        </is>
      </c>
      <c r="E697" t="inlineStr">
        <is>
          <t>DP002</t>
        </is>
      </c>
      <c r="F697" t="inlineStr">
        <is>
          <t>2024-08-26 19:09:00</t>
        </is>
      </c>
      <c r="G697" t="inlineStr">
        <is>
          <t>2024-08-26 19:27:00</t>
        </is>
      </c>
      <c r="H697" s="14" t="n">
        <v>1</v>
      </c>
      <c r="I697" s="13" t="n">
        <v>183.23</v>
      </c>
      <c r="J697" s="13" t="n">
        <v>17.25</v>
      </c>
      <c r="K697" s="16" t="n">
        <v>18</v>
      </c>
      <c r="L697" t="inlineStr">
        <is>
          <t>Cancelled</t>
        </is>
      </c>
      <c r="M697" t="inlineStr">
        <is>
          <t>PAY05</t>
        </is>
      </c>
      <c r="N697" t="inlineStr">
        <is>
          <t>Evening</t>
        </is>
      </c>
      <c r="O697">
        <f>INDEX(Products_Catalog!$B$2:$B$151, MATCH(C697, Products_Catalog!$A$2:$A$151, 0))</f>
        <v/>
      </c>
      <c r="P697" s="13">
        <f>INDEX(Products_Catalog!$D$2:$D$151, MATCH(C697, Products_Catalog!$A$2:$A$151, 0))</f>
        <v/>
      </c>
      <c r="Q697" s="13">
        <f>I697-J697</f>
        <v/>
      </c>
      <c r="R697" s="15">
        <f>IF(K697&gt;20, "BREACH", "OK")</f>
        <v/>
      </c>
    </row>
    <row r="698">
      <c r="A698" t="inlineStr">
        <is>
          <t>ORD01807</t>
        </is>
      </c>
      <c r="B698" t="inlineStr">
        <is>
          <t>CUST0005</t>
        </is>
      </c>
      <c r="C698" t="inlineStr">
        <is>
          <t>PROD091</t>
        </is>
      </c>
      <c r="D698" t="inlineStr">
        <is>
          <t>STORE043</t>
        </is>
      </c>
      <c r="E698" t="inlineStr">
        <is>
          <t>DP019</t>
        </is>
      </c>
      <c r="F698" t="inlineStr">
        <is>
          <t>2025-06-06 11:05:00</t>
        </is>
      </c>
      <c r="G698" t="inlineStr">
        <is>
          <t>2025-06-06 11:24:00</t>
        </is>
      </c>
      <c r="H698" s="14" t="n">
        <v>5</v>
      </c>
      <c r="I698" s="13" t="n">
        <v>2271.85</v>
      </c>
      <c r="J698" s="13" t="n">
        <v>528.51</v>
      </c>
      <c r="K698" s="16" t="n">
        <v>19</v>
      </c>
      <c r="L698" t="inlineStr">
        <is>
          <t>Shipped</t>
        </is>
      </c>
      <c r="M698" t="inlineStr">
        <is>
          <t>PAY05</t>
        </is>
      </c>
      <c r="N698" t="inlineStr">
        <is>
          <t>Morning</t>
        </is>
      </c>
      <c r="O698">
        <f>INDEX(Products_Catalog!$B$2:$B$151, MATCH(C698, Products_Catalog!$A$2:$A$151, 0))</f>
        <v/>
      </c>
      <c r="P698" s="13">
        <f>INDEX(Products_Catalog!$D$2:$D$151, MATCH(C698, Products_Catalog!$A$2:$A$151, 0))</f>
        <v/>
      </c>
      <c r="Q698" s="13">
        <f>I698-J698</f>
        <v/>
      </c>
      <c r="R698" s="15">
        <f>IF(K698&gt;20, "BREACH", "OK")</f>
        <v/>
      </c>
    </row>
    <row r="699">
      <c r="A699" t="inlineStr">
        <is>
          <t>ORD01808</t>
        </is>
      </c>
      <c r="B699" t="inlineStr">
        <is>
          <t>CUST0033</t>
        </is>
      </c>
      <c r="C699" t="inlineStr">
        <is>
          <t>PROD137</t>
        </is>
      </c>
      <c r="D699" t="inlineStr">
        <is>
          <t>STORE043</t>
        </is>
      </c>
      <c r="E699" t="inlineStr">
        <is>
          <t>DP025</t>
        </is>
      </c>
      <c r="F699" t="inlineStr">
        <is>
          <t>2024-07-06 08:38:00</t>
        </is>
      </c>
      <c r="G699" t="inlineStr">
        <is>
          <t>2024-07-06 08:58:00</t>
        </is>
      </c>
      <c r="H699" s="14" t="n">
        <v>7</v>
      </c>
      <c r="I699" s="13" t="n">
        <v>1164.38</v>
      </c>
      <c r="J699" s="13" t="n">
        <v>340.72</v>
      </c>
      <c r="K699" s="16" t="n">
        <v>20</v>
      </c>
      <c r="L699" t="inlineStr">
        <is>
          <t>Returned</t>
        </is>
      </c>
      <c r="M699" t="inlineStr">
        <is>
          <t>PAY05</t>
        </is>
      </c>
      <c r="N699" t="inlineStr">
        <is>
          <t>Morning</t>
        </is>
      </c>
      <c r="O699">
        <f>INDEX(Products_Catalog!$B$2:$B$151, MATCH(C699, Products_Catalog!$A$2:$A$151, 0))</f>
        <v/>
      </c>
      <c r="P699" s="13">
        <f>INDEX(Products_Catalog!$D$2:$D$151, MATCH(C699, Products_Catalog!$A$2:$A$151, 0))</f>
        <v/>
      </c>
      <c r="Q699" s="13">
        <f>I699-J699</f>
        <v/>
      </c>
      <c r="R699" s="15">
        <f>IF(K699&gt;20, "BREACH", "OK")</f>
        <v/>
      </c>
    </row>
    <row r="700">
      <c r="A700" t="inlineStr">
        <is>
          <t>ORD01809</t>
        </is>
      </c>
      <c r="B700" t="inlineStr">
        <is>
          <t>CUST0005</t>
        </is>
      </c>
      <c r="C700" t="inlineStr">
        <is>
          <t>PROD094</t>
        </is>
      </c>
      <c r="D700" t="inlineStr">
        <is>
          <t>STORE040</t>
        </is>
      </c>
      <c r="E700" t="inlineStr">
        <is>
          <t>DP013</t>
        </is>
      </c>
      <c r="F700" t="inlineStr">
        <is>
          <t>2024-09-19 15:26:00</t>
        </is>
      </c>
      <c r="G700" t="inlineStr">
        <is>
          <t>2024-09-19 15:47:00</t>
        </is>
      </c>
      <c r="H700" s="14" t="n">
        <v>6</v>
      </c>
      <c r="I700" s="13" t="n">
        <v>848.88</v>
      </c>
      <c r="J700" s="13" t="n">
        <v>204.86</v>
      </c>
      <c r="K700" s="16" t="n">
        <v>21</v>
      </c>
      <c r="L700" t="inlineStr">
        <is>
          <t>Delivered</t>
        </is>
      </c>
      <c r="M700" t="inlineStr">
        <is>
          <t>PAY01</t>
        </is>
      </c>
      <c r="N700" t="inlineStr">
        <is>
          <t>Afternoon</t>
        </is>
      </c>
      <c r="O700">
        <f>INDEX(Products_Catalog!$B$2:$B$151, MATCH(C700, Products_Catalog!$A$2:$A$151, 0))</f>
        <v/>
      </c>
      <c r="P700" s="13">
        <f>INDEX(Products_Catalog!$D$2:$D$151, MATCH(C700, Products_Catalog!$A$2:$A$151, 0))</f>
        <v/>
      </c>
      <c r="Q700" s="13">
        <f>I700-J700</f>
        <v/>
      </c>
      <c r="R700" s="15">
        <f>IF(K700&gt;20, "BREACH", "OK")</f>
        <v/>
      </c>
    </row>
    <row r="701">
      <c r="A701" t="inlineStr">
        <is>
          <t>ORD01810</t>
        </is>
      </c>
      <c r="B701" t="inlineStr">
        <is>
          <t>CUST0030</t>
        </is>
      </c>
      <c r="C701" t="inlineStr">
        <is>
          <t>PROD068</t>
        </is>
      </c>
      <c r="D701" t="inlineStr">
        <is>
          <t>STORE029</t>
        </is>
      </c>
      <c r="E701" t="inlineStr">
        <is>
          <t>DP037</t>
        </is>
      </c>
      <c r="F701" t="inlineStr">
        <is>
          <t>2024-03-10 08:06:00</t>
        </is>
      </c>
      <c r="G701" t="inlineStr">
        <is>
          <t>2024-03-10 08:28:00</t>
        </is>
      </c>
      <c r="H701" s="14" t="n">
        <v>4</v>
      </c>
      <c r="I701" s="13" t="n">
        <v>1372.64</v>
      </c>
      <c r="J701" s="13" t="n">
        <v>154.47</v>
      </c>
      <c r="K701" s="16" t="n">
        <v>22</v>
      </c>
      <c r="L701" t="inlineStr">
        <is>
          <t>Pending</t>
        </is>
      </c>
      <c r="M701" t="inlineStr">
        <is>
          <t>PAY01</t>
        </is>
      </c>
      <c r="N701" t="inlineStr">
        <is>
          <t>Morning</t>
        </is>
      </c>
      <c r="O701">
        <f>INDEX(Products_Catalog!$B$2:$B$151, MATCH(C701, Products_Catalog!$A$2:$A$151, 0))</f>
        <v/>
      </c>
      <c r="P701" s="13">
        <f>INDEX(Products_Catalog!$D$2:$D$151, MATCH(C701, Products_Catalog!$A$2:$A$151, 0))</f>
        <v/>
      </c>
      <c r="Q701" s="13">
        <f>I701-J701</f>
        <v/>
      </c>
      <c r="R701" s="15">
        <f>IF(K701&gt;20, "BREACH", "OK")</f>
        <v/>
      </c>
    </row>
    <row r="702">
      <c r="A702" t="inlineStr">
        <is>
          <t>ORD01811</t>
        </is>
      </c>
      <c r="B702" t="inlineStr">
        <is>
          <t>CUST0031</t>
        </is>
      </c>
      <c r="C702" t="inlineStr">
        <is>
          <t>PROD031</t>
        </is>
      </c>
      <c r="D702" t="inlineStr">
        <is>
          <t>STORE021</t>
        </is>
      </c>
      <c r="E702" t="inlineStr">
        <is>
          <t>DP018</t>
        </is>
      </c>
      <c r="F702" t="inlineStr">
        <is>
          <t>2024-11-10 11:22:00</t>
        </is>
      </c>
      <c r="G702" t="inlineStr">
        <is>
          <t>2024-11-10 11:45:00</t>
        </is>
      </c>
      <c r="H702" s="14" t="n">
        <v>8</v>
      </c>
      <c r="I702" s="13" t="n">
        <v>2874.96</v>
      </c>
      <c r="J702" s="13" t="n">
        <v>718.49</v>
      </c>
      <c r="K702" s="16" t="n">
        <v>23</v>
      </c>
      <c r="L702" t="inlineStr">
        <is>
          <t>Cancelled</t>
        </is>
      </c>
      <c r="M702" t="inlineStr">
        <is>
          <t>PAY03</t>
        </is>
      </c>
      <c r="N702" t="inlineStr">
        <is>
          <t>Morning</t>
        </is>
      </c>
      <c r="O702">
        <f>INDEX(Products_Catalog!$B$2:$B$151, MATCH(C702, Products_Catalog!$A$2:$A$151, 0))</f>
        <v/>
      </c>
      <c r="P702" s="13">
        <f>INDEX(Products_Catalog!$D$2:$D$151, MATCH(C702, Products_Catalog!$A$2:$A$151, 0))</f>
        <v/>
      </c>
      <c r="Q702" s="13">
        <f>I702-J702</f>
        <v/>
      </c>
      <c r="R702" s="15">
        <f>IF(K702&gt;20, "BREACH", "OK")</f>
        <v/>
      </c>
    </row>
    <row r="703">
      <c r="A703" t="inlineStr">
        <is>
          <t>ORD01812</t>
        </is>
      </c>
      <c r="B703" t="inlineStr">
        <is>
          <t>CUST0045</t>
        </is>
      </c>
      <c r="C703" t="inlineStr">
        <is>
          <t>PROD071</t>
        </is>
      </c>
      <c r="D703" t="inlineStr">
        <is>
          <t>STORE048</t>
        </is>
      </c>
      <c r="E703" t="inlineStr">
        <is>
          <t>DP017</t>
        </is>
      </c>
      <c r="F703" t="inlineStr">
        <is>
          <t>2024-03-16 14:37:00</t>
        </is>
      </c>
      <c r="G703" t="inlineStr">
        <is>
          <t>2024-03-16 15:01:00</t>
        </is>
      </c>
      <c r="H703" s="14" t="n">
        <v>3</v>
      </c>
      <c r="I703" s="13" t="n">
        <v>244.95</v>
      </c>
      <c r="J703" s="13" t="n">
        <v>4.86</v>
      </c>
      <c r="K703" s="16" t="n">
        <v>24</v>
      </c>
      <c r="L703" t="inlineStr">
        <is>
          <t>Returned</t>
        </is>
      </c>
      <c r="M703" t="inlineStr">
        <is>
          <t>PAY03</t>
        </is>
      </c>
      <c r="N703" t="inlineStr">
        <is>
          <t>Afternoon</t>
        </is>
      </c>
      <c r="O703">
        <f>INDEX(Products_Catalog!$B$2:$B$151, MATCH(C703, Products_Catalog!$A$2:$A$151, 0))</f>
        <v/>
      </c>
      <c r="P703" s="13">
        <f>INDEX(Products_Catalog!$D$2:$D$151, MATCH(C703, Products_Catalog!$A$2:$A$151, 0))</f>
        <v/>
      </c>
      <c r="Q703" s="13">
        <f>I703-J703</f>
        <v/>
      </c>
      <c r="R703" s="15">
        <f>IF(K703&gt;20, "BREACH", "OK")</f>
        <v/>
      </c>
    </row>
    <row r="704">
      <c r="A704" t="inlineStr">
        <is>
          <t>ORD01813</t>
        </is>
      </c>
      <c r="B704" t="inlineStr">
        <is>
          <t>CUST0015</t>
        </is>
      </c>
      <c r="C704" t="inlineStr">
        <is>
          <t>PROD115</t>
        </is>
      </c>
      <c r="D704" t="inlineStr">
        <is>
          <t>STORE024</t>
        </is>
      </c>
      <c r="E704" t="inlineStr">
        <is>
          <t>DP004</t>
        </is>
      </c>
      <c r="F704" t="inlineStr">
        <is>
          <t>2025-04-06 17:00:00</t>
        </is>
      </c>
      <c r="G704" t="inlineStr">
        <is>
          <t>2025-04-06 17:20:00</t>
        </is>
      </c>
      <c r="H704" s="14" t="n">
        <v>6</v>
      </c>
      <c r="I704" s="13" t="n">
        <v>546.36</v>
      </c>
      <c r="J704" s="13" t="n">
        <v>27.48</v>
      </c>
      <c r="K704" s="16" t="n">
        <v>20</v>
      </c>
      <c r="L704" t="inlineStr">
        <is>
          <t>Pending</t>
        </is>
      </c>
      <c r="M704" t="inlineStr">
        <is>
          <t>PAY04</t>
        </is>
      </c>
      <c r="N704" t="inlineStr">
        <is>
          <t>Afternoon</t>
        </is>
      </c>
      <c r="O704">
        <f>INDEX(Products_Catalog!$B$2:$B$151, MATCH(C704, Products_Catalog!$A$2:$A$151, 0))</f>
        <v/>
      </c>
      <c r="P704" s="13">
        <f>INDEX(Products_Catalog!$D$2:$D$151, MATCH(C704, Products_Catalog!$A$2:$A$151, 0))</f>
        <v/>
      </c>
      <c r="Q704" s="13">
        <f>I704-J704</f>
        <v/>
      </c>
      <c r="R704" s="15">
        <f>IF(K704&gt;20, "BREACH", "OK")</f>
        <v/>
      </c>
    </row>
    <row r="705">
      <c r="A705" t="inlineStr">
        <is>
          <t>ORD01814</t>
        </is>
      </c>
      <c r="B705" t="inlineStr">
        <is>
          <t>CUST0031</t>
        </is>
      </c>
      <c r="C705" t="inlineStr">
        <is>
          <t>PROD063</t>
        </is>
      </c>
      <c r="D705" t="inlineStr">
        <is>
          <t>STORE014</t>
        </is>
      </c>
      <c r="E705" t="inlineStr">
        <is>
          <t>DP031</t>
        </is>
      </c>
      <c r="F705" t="inlineStr">
        <is>
          <t>2025-03-16 16:42:00</t>
        </is>
      </c>
      <c r="G705" t="inlineStr">
        <is>
          <t>2025-03-16 16:57:00</t>
        </is>
      </c>
      <c r="H705" s="14" t="n">
        <v>10</v>
      </c>
      <c r="I705" s="13" t="n">
        <v>2298.4</v>
      </c>
      <c r="J705" s="13" t="n">
        <v>157</v>
      </c>
      <c r="K705" s="16" t="n">
        <v>15</v>
      </c>
      <c r="L705" t="inlineStr">
        <is>
          <t>Delivered</t>
        </is>
      </c>
      <c r="M705" t="inlineStr">
        <is>
          <t>PAY04</t>
        </is>
      </c>
      <c r="N705" t="inlineStr">
        <is>
          <t>Afternoon</t>
        </is>
      </c>
      <c r="O705">
        <f>INDEX(Products_Catalog!$B$2:$B$151, MATCH(C705, Products_Catalog!$A$2:$A$151, 0))</f>
        <v/>
      </c>
      <c r="P705" s="13">
        <f>INDEX(Products_Catalog!$D$2:$D$151, MATCH(C705, Products_Catalog!$A$2:$A$151, 0))</f>
        <v/>
      </c>
      <c r="Q705" s="13">
        <f>I705-J705</f>
        <v/>
      </c>
      <c r="R705" s="15">
        <f>IF(K705&gt;20, "BREACH", "OK")</f>
        <v/>
      </c>
    </row>
    <row r="706">
      <c r="A706" t="inlineStr">
        <is>
          <t>ORD01816</t>
        </is>
      </c>
      <c r="B706" t="inlineStr">
        <is>
          <t>CUST0015</t>
        </is>
      </c>
      <c r="C706" t="inlineStr">
        <is>
          <t>PROD023</t>
        </is>
      </c>
      <c r="D706" t="inlineStr">
        <is>
          <t>STORE029</t>
        </is>
      </c>
      <c r="E706" t="inlineStr">
        <is>
          <t>DP037</t>
        </is>
      </c>
      <c r="F706" t="inlineStr">
        <is>
          <t>2024-12-14 13:28:00</t>
        </is>
      </c>
      <c r="G706" t="inlineStr">
        <is>
          <t>2024-12-14 13:49:00</t>
        </is>
      </c>
      <c r="H706" s="14" t="n">
        <v>6</v>
      </c>
      <c r="I706" s="13" t="n">
        <v>336</v>
      </c>
      <c r="J706" s="13" t="n">
        <v>11.82</v>
      </c>
      <c r="K706" s="16" t="n">
        <v>21</v>
      </c>
      <c r="L706" t="inlineStr">
        <is>
          <t>Returned</t>
        </is>
      </c>
      <c r="M706" t="inlineStr">
        <is>
          <t>PAY02</t>
        </is>
      </c>
      <c r="N706" t="inlineStr">
        <is>
          <t>Afternoon</t>
        </is>
      </c>
      <c r="O706">
        <f>INDEX(Products_Catalog!$B$2:$B$151, MATCH(C706, Products_Catalog!$A$2:$A$151, 0))</f>
        <v/>
      </c>
      <c r="P706" s="13">
        <f>INDEX(Products_Catalog!$D$2:$D$151, MATCH(C706, Products_Catalog!$A$2:$A$151, 0))</f>
        <v/>
      </c>
      <c r="Q706" s="13">
        <f>I706-J706</f>
        <v/>
      </c>
      <c r="R706" s="15">
        <f>IF(K706&gt;20, "BREACH", "OK")</f>
        <v/>
      </c>
    </row>
    <row r="707">
      <c r="A707" t="inlineStr">
        <is>
          <t>ORD01817</t>
        </is>
      </c>
      <c r="B707" t="inlineStr">
        <is>
          <t>CUST0034</t>
        </is>
      </c>
      <c r="C707" t="inlineStr">
        <is>
          <t>PROD065</t>
        </is>
      </c>
      <c r="D707" t="inlineStr">
        <is>
          <t>STORE025</t>
        </is>
      </c>
      <c r="E707" t="inlineStr">
        <is>
          <t>DP006</t>
        </is>
      </c>
      <c r="F707" t="inlineStr">
        <is>
          <t>2024-03-04 15:44:00</t>
        </is>
      </c>
      <c r="G707" t="inlineStr">
        <is>
          <t>2024-03-04 15:56:00</t>
        </is>
      </c>
      <c r="H707" s="14" t="n">
        <v>6</v>
      </c>
      <c r="I707" s="13" t="n">
        <v>806.04</v>
      </c>
      <c r="J707" s="13" t="n">
        <v>156.58</v>
      </c>
      <c r="K707" s="16" t="n">
        <v>12</v>
      </c>
      <c r="L707" t="inlineStr">
        <is>
          <t>Delivered</t>
        </is>
      </c>
      <c r="M707" t="inlineStr">
        <is>
          <t>PAY02</t>
        </is>
      </c>
      <c r="N707" t="inlineStr">
        <is>
          <t>Afternoon</t>
        </is>
      </c>
      <c r="O707">
        <f>INDEX(Products_Catalog!$B$2:$B$151, MATCH(C707, Products_Catalog!$A$2:$A$151, 0))</f>
        <v/>
      </c>
      <c r="P707" s="13">
        <f>INDEX(Products_Catalog!$D$2:$D$151, MATCH(C707, Products_Catalog!$A$2:$A$151, 0))</f>
        <v/>
      </c>
      <c r="Q707" s="13">
        <f>I707-J707</f>
        <v/>
      </c>
      <c r="R707" s="15">
        <f>IF(K707&gt;20, "BREACH", "OK")</f>
        <v/>
      </c>
    </row>
    <row r="708">
      <c r="A708" t="inlineStr">
        <is>
          <t>ORD01819</t>
        </is>
      </c>
      <c r="B708" t="inlineStr">
        <is>
          <t>CUST0032</t>
        </is>
      </c>
      <c r="C708" t="inlineStr">
        <is>
          <t>PROD146</t>
        </is>
      </c>
      <c r="D708" t="inlineStr">
        <is>
          <t>STORE019</t>
        </is>
      </c>
      <c r="E708" t="inlineStr">
        <is>
          <t>DP027</t>
        </is>
      </c>
      <c r="F708" t="inlineStr">
        <is>
          <t>2024-06-12 09:37:00</t>
        </is>
      </c>
      <c r="G708" t="inlineStr">
        <is>
          <t>2024-06-12 09:57:00</t>
        </is>
      </c>
      <c r="H708" s="14" t="n">
        <v>7</v>
      </c>
      <c r="I708" s="13" t="n">
        <v>2710.19</v>
      </c>
      <c r="J708" s="13" t="n">
        <v>307.12</v>
      </c>
      <c r="K708" s="16" t="n">
        <v>20</v>
      </c>
      <c r="L708" t="inlineStr">
        <is>
          <t>Pending</t>
        </is>
      </c>
      <c r="M708" t="inlineStr">
        <is>
          <t>PAY05</t>
        </is>
      </c>
      <c r="N708" t="inlineStr">
        <is>
          <t>Morning</t>
        </is>
      </c>
      <c r="O708">
        <f>INDEX(Products_Catalog!$B$2:$B$151, MATCH(C708, Products_Catalog!$A$2:$A$151, 0))</f>
        <v/>
      </c>
      <c r="P708" s="13">
        <f>INDEX(Products_Catalog!$D$2:$D$151, MATCH(C708, Products_Catalog!$A$2:$A$151, 0))</f>
        <v/>
      </c>
      <c r="Q708" s="13">
        <f>I708-J708</f>
        <v/>
      </c>
      <c r="R708" s="15">
        <f>IF(K708&gt;20, "BREACH", "OK")</f>
        <v/>
      </c>
    </row>
    <row r="709">
      <c r="A709" t="inlineStr">
        <is>
          <t>ORD01821</t>
        </is>
      </c>
      <c r="B709" t="inlineStr">
        <is>
          <t>CUST0038</t>
        </is>
      </c>
      <c r="C709" t="inlineStr">
        <is>
          <t>PROD075</t>
        </is>
      </c>
      <c r="D709" t="inlineStr">
        <is>
          <t>STORE010</t>
        </is>
      </c>
      <c r="E709" t="inlineStr">
        <is>
          <t>DP003</t>
        </is>
      </c>
      <c r="F709" t="inlineStr">
        <is>
          <t>2025-04-29 20:17:00</t>
        </is>
      </c>
      <c r="G709" t="inlineStr">
        <is>
          <t>2025-04-29 20:38:00</t>
        </is>
      </c>
      <c r="H709" s="14" t="n">
        <v>8</v>
      </c>
      <c r="I709" s="13" t="n">
        <v>3915.68</v>
      </c>
      <c r="J709" s="13" t="n">
        <v>993.85</v>
      </c>
      <c r="K709" s="16" t="n">
        <v>21</v>
      </c>
      <c r="L709" t="inlineStr">
        <is>
          <t>Delivered</t>
        </is>
      </c>
      <c r="M709" t="inlineStr">
        <is>
          <t>PAY01</t>
        </is>
      </c>
      <c r="N709" t="inlineStr">
        <is>
          <t>Evening</t>
        </is>
      </c>
      <c r="O709">
        <f>INDEX(Products_Catalog!$B$2:$B$151, MATCH(C709, Products_Catalog!$A$2:$A$151, 0))</f>
        <v/>
      </c>
      <c r="P709" s="13">
        <f>INDEX(Products_Catalog!$D$2:$D$151, MATCH(C709, Products_Catalog!$A$2:$A$151, 0))</f>
        <v/>
      </c>
      <c r="Q709" s="13">
        <f>I709-J709</f>
        <v/>
      </c>
      <c r="R709" s="15">
        <f>IF(K709&gt;20, "BREACH", "OK")</f>
        <v/>
      </c>
    </row>
    <row r="710">
      <c r="A710" t="inlineStr">
        <is>
          <t>ORD01822</t>
        </is>
      </c>
      <c r="B710" t="inlineStr">
        <is>
          <t>CUST0030</t>
        </is>
      </c>
      <c r="C710" t="inlineStr">
        <is>
          <t>PROD020</t>
        </is>
      </c>
      <c r="D710" t="inlineStr">
        <is>
          <t>STORE018</t>
        </is>
      </c>
      <c r="E710" t="inlineStr">
        <is>
          <t>DP037</t>
        </is>
      </c>
      <c r="F710" t="inlineStr">
        <is>
          <t>2024-12-01 17:35:00</t>
        </is>
      </c>
      <c r="G710" t="inlineStr">
        <is>
          <t>2024-12-01 17:57:00</t>
        </is>
      </c>
      <c r="H710" s="14" t="n">
        <v>2</v>
      </c>
      <c r="I710" s="13" t="n">
        <v>434</v>
      </c>
      <c r="J710" s="13" t="n">
        <v>95.31</v>
      </c>
      <c r="K710" s="16" t="n">
        <v>22</v>
      </c>
      <c r="L710" t="inlineStr">
        <is>
          <t>Returned</t>
        </is>
      </c>
      <c r="M710" t="inlineStr">
        <is>
          <t>PAY02</t>
        </is>
      </c>
      <c r="N710" t="inlineStr">
        <is>
          <t>Evening</t>
        </is>
      </c>
      <c r="O710">
        <f>INDEX(Products_Catalog!$B$2:$B$151, MATCH(C710, Products_Catalog!$A$2:$A$151, 0))</f>
        <v/>
      </c>
      <c r="P710" s="13">
        <f>INDEX(Products_Catalog!$D$2:$D$151, MATCH(C710, Products_Catalog!$A$2:$A$151, 0))</f>
        <v/>
      </c>
      <c r="Q710" s="13">
        <f>I710-J710</f>
        <v/>
      </c>
      <c r="R710" s="15">
        <f>IF(K710&gt;20, "BREACH", "OK")</f>
        <v/>
      </c>
    </row>
    <row r="711">
      <c r="A711" t="inlineStr">
        <is>
          <t>ORD01823</t>
        </is>
      </c>
      <c r="B711" t="inlineStr">
        <is>
          <t>CUST0045</t>
        </is>
      </c>
      <c r="C711" t="inlineStr">
        <is>
          <t>PROD064</t>
        </is>
      </c>
      <c r="D711" t="inlineStr">
        <is>
          <t>STORE025</t>
        </is>
      </c>
      <c r="E711" t="inlineStr">
        <is>
          <t>DP032</t>
        </is>
      </c>
      <c r="F711" t="inlineStr">
        <is>
          <t>2024-11-01 16:46:00</t>
        </is>
      </c>
      <c r="G711" t="inlineStr">
        <is>
          <t>2024-11-01 17:09:00</t>
        </is>
      </c>
      <c r="H711" s="14" t="n">
        <v>3</v>
      </c>
      <c r="I711" s="13" t="n">
        <v>900.48</v>
      </c>
      <c r="J711" s="13" t="n">
        <v>251.1</v>
      </c>
      <c r="K711" s="16" t="n">
        <v>23</v>
      </c>
      <c r="L711" t="inlineStr">
        <is>
          <t>Shipped</t>
        </is>
      </c>
      <c r="M711" t="inlineStr">
        <is>
          <t>PAY03</t>
        </is>
      </c>
      <c r="N711" t="inlineStr">
        <is>
          <t>Afternoon</t>
        </is>
      </c>
      <c r="O711">
        <f>INDEX(Products_Catalog!$B$2:$B$151, MATCH(C711, Products_Catalog!$A$2:$A$151, 0))</f>
        <v/>
      </c>
      <c r="P711" s="13">
        <f>INDEX(Products_Catalog!$D$2:$D$151, MATCH(C711, Products_Catalog!$A$2:$A$151, 0))</f>
        <v/>
      </c>
      <c r="Q711" s="13">
        <f>I711-J711</f>
        <v/>
      </c>
      <c r="R711" s="15">
        <f>IF(K711&gt;20, "BREACH", "OK")</f>
        <v/>
      </c>
    </row>
    <row r="712">
      <c r="A712" t="inlineStr">
        <is>
          <t>ORD01824</t>
        </is>
      </c>
      <c r="B712" t="inlineStr">
        <is>
          <t>CUST0050</t>
        </is>
      </c>
      <c r="C712" t="inlineStr">
        <is>
          <t>PROD122</t>
        </is>
      </c>
      <c r="D712" t="inlineStr">
        <is>
          <t>STORE022</t>
        </is>
      </c>
      <c r="E712" t="inlineStr">
        <is>
          <t>DP046</t>
        </is>
      </c>
      <c r="F712" t="inlineStr">
        <is>
          <t>2024-05-31 12:59:00</t>
        </is>
      </c>
      <c r="G712" t="inlineStr">
        <is>
          <t>2024-05-31 13:23:00</t>
        </is>
      </c>
      <c r="H712" s="14" t="n">
        <v>2</v>
      </c>
      <c r="I712" s="13" t="n">
        <v>296.42</v>
      </c>
      <c r="J712" s="13" t="n">
        <v>45.98</v>
      </c>
      <c r="K712" s="16" t="n">
        <v>24</v>
      </c>
      <c r="L712" t="inlineStr">
        <is>
          <t>Delivered</t>
        </is>
      </c>
      <c r="M712" t="inlineStr">
        <is>
          <t>PAY02</t>
        </is>
      </c>
      <c r="N712" t="inlineStr">
        <is>
          <t>Afternoon</t>
        </is>
      </c>
      <c r="O712">
        <f>INDEX(Products_Catalog!$B$2:$B$151, MATCH(C712, Products_Catalog!$A$2:$A$151, 0))</f>
        <v/>
      </c>
      <c r="P712" s="13">
        <f>INDEX(Products_Catalog!$D$2:$D$151, MATCH(C712, Products_Catalog!$A$2:$A$151, 0))</f>
        <v/>
      </c>
      <c r="Q712" s="13">
        <f>I712-J712</f>
        <v/>
      </c>
      <c r="R712" s="15">
        <f>IF(K712&gt;20, "BREACH", "OK")</f>
        <v/>
      </c>
    </row>
    <row r="713">
      <c r="A713" t="inlineStr">
        <is>
          <t>ORD01825</t>
        </is>
      </c>
      <c r="B713" t="inlineStr">
        <is>
          <t>CUST0043</t>
        </is>
      </c>
      <c r="C713" t="inlineStr">
        <is>
          <t>PROD127</t>
        </is>
      </c>
      <c r="D713" t="inlineStr">
        <is>
          <t>STORE010</t>
        </is>
      </c>
      <c r="E713" t="inlineStr">
        <is>
          <t>DP032</t>
        </is>
      </c>
      <c r="F713" t="inlineStr">
        <is>
          <t>2025-03-08 12:55:00</t>
        </is>
      </c>
      <c r="G713" t="inlineStr">
        <is>
          <t>2025-03-08 13:20:00</t>
        </is>
      </c>
      <c r="H713" s="14" t="n">
        <v>4</v>
      </c>
      <c r="I713" s="13" t="n">
        <v>1086.12</v>
      </c>
      <c r="J713" s="13" t="n">
        <v>101.78</v>
      </c>
      <c r="K713" s="16" t="n">
        <v>25</v>
      </c>
      <c r="L713" t="inlineStr">
        <is>
          <t>Shipped</t>
        </is>
      </c>
      <c r="M713" t="inlineStr">
        <is>
          <t>PAY04</t>
        </is>
      </c>
      <c r="N713" t="inlineStr">
        <is>
          <t>Afternoon</t>
        </is>
      </c>
      <c r="O713">
        <f>INDEX(Products_Catalog!$B$2:$B$151, MATCH(C713, Products_Catalog!$A$2:$A$151, 0))</f>
        <v/>
      </c>
      <c r="P713" s="13">
        <f>INDEX(Products_Catalog!$D$2:$D$151, MATCH(C713, Products_Catalog!$A$2:$A$151, 0))</f>
        <v/>
      </c>
      <c r="Q713" s="13">
        <f>I713-J713</f>
        <v/>
      </c>
      <c r="R713" s="15">
        <f>IF(K713&gt;20, "BREACH", "OK")</f>
        <v/>
      </c>
    </row>
    <row r="714">
      <c r="A714" t="inlineStr">
        <is>
          <t>ORD01826</t>
        </is>
      </c>
      <c r="B714" t="inlineStr">
        <is>
          <t>CUST0010</t>
        </is>
      </c>
      <c r="C714" t="inlineStr">
        <is>
          <t>PROD077</t>
        </is>
      </c>
      <c r="D714" t="inlineStr">
        <is>
          <t>STORE021</t>
        </is>
      </c>
      <c r="E714" t="inlineStr">
        <is>
          <t>DP046</t>
        </is>
      </c>
      <c r="F714" t="inlineStr">
        <is>
          <t>2024-03-27 11:11:00</t>
        </is>
      </c>
      <c r="G714" t="inlineStr">
        <is>
          <t>2024-03-27 11:37:00</t>
        </is>
      </c>
      <c r="H714" s="14" t="n">
        <v>8</v>
      </c>
      <c r="I714" s="13" t="n">
        <v>1675.44</v>
      </c>
      <c r="J714" s="13" t="n">
        <v>53.59</v>
      </c>
      <c r="K714" s="16" t="n">
        <v>26</v>
      </c>
      <c r="L714" t="inlineStr">
        <is>
          <t>Pending</t>
        </is>
      </c>
      <c r="M714" t="inlineStr">
        <is>
          <t>PAY02</t>
        </is>
      </c>
      <c r="N714" t="inlineStr">
        <is>
          <t>Morning</t>
        </is>
      </c>
      <c r="O714">
        <f>INDEX(Products_Catalog!$B$2:$B$151, MATCH(C714, Products_Catalog!$A$2:$A$151, 0))</f>
        <v/>
      </c>
      <c r="P714" s="13">
        <f>INDEX(Products_Catalog!$D$2:$D$151, MATCH(C714, Products_Catalog!$A$2:$A$151, 0))</f>
        <v/>
      </c>
      <c r="Q714" s="13">
        <f>I714-J714</f>
        <v/>
      </c>
      <c r="R714" s="15">
        <f>IF(K714&gt;20, "BREACH", "OK")</f>
        <v/>
      </c>
    </row>
    <row r="715">
      <c r="A715" t="inlineStr">
        <is>
          <t>ORD01827</t>
        </is>
      </c>
      <c r="B715" t="inlineStr">
        <is>
          <t>CUST0021</t>
        </is>
      </c>
      <c r="C715" t="inlineStr">
        <is>
          <t>PROD110</t>
        </is>
      </c>
      <c r="D715" t="inlineStr">
        <is>
          <t>STORE017</t>
        </is>
      </c>
      <c r="E715" t="inlineStr">
        <is>
          <t>DP001</t>
        </is>
      </c>
      <c r="F715" t="inlineStr">
        <is>
          <t>2024-09-18 16:25:00</t>
        </is>
      </c>
      <c r="G715" t="inlineStr">
        <is>
          <t>2024-09-18 16:52:00</t>
        </is>
      </c>
      <c r="H715" s="14" t="n">
        <v>7</v>
      </c>
      <c r="I715" s="13" t="n">
        <v>678.86</v>
      </c>
      <c r="J715" s="13" t="n">
        <v>80.33</v>
      </c>
      <c r="K715" s="16" t="n">
        <v>27</v>
      </c>
      <c r="L715" t="inlineStr">
        <is>
          <t>Returned</t>
        </is>
      </c>
      <c r="M715" t="inlineStr">
        <is>
          <t>PAY01</t>
        </is>
      </c>
      <c r="N715" t="inlineStr">
        <is>
          <t>Afternoon</t>
        </is>
      </c>
      <c r="O715">
        <f>INDEX(Products_Catalog!$B$2:$B$151, MATCH(C715, Products_Catalog!$A$2:$A$151, 0))</f>
        <v/>
      </c>
      <c r="P715" s="13">
        <f>INDEX(Products_Catalog!$D$2:$D$151, MATCH(C715, Products_Catalog!$A$2:$A$151, 0))</f>
        <v/>
      </c>
      <c r="Q715" s="13">
        <f>I715-J715</f>
        <v/>
      </c>
      <c r="R715" s="15">
        <f>IF(K715&gt;20, "BREACH", "OK")</f>
        <v/>
      </c>
    </row>
    <row r="716">
      <c r="A716" t="inlineStr">
        <is>
          <t>ORD01828</t>
        </is>
      </c>
      <c r="B716" t="inlineStr">
        <is>
          <t>CUST0017</t>
        </is>
      </c>
      <c r="C716" t="inlineStr">
        <is>
          <t>PROD026</t>
        </is>
      </c>
      <c r="D716" t="inlineStr">
        <is>
          <t>STORE048</t>
        </is>
      </c>
      <c r="E716" t="inlineStr">
        <is>
          <t>DP001</t>
        </is>
      </c>
      <c r="F716" t="inlineStr">
        <is>
          <t>2024-09-18 15:41:00</t>
        </is>
      </c>
      <c r="G716" t="inlineStr">
        <is>
          <t>2024-09-18 16:09:00</t>
        </is>
      </c>
      <c r="H716" s="14" t="n">
        <v>10</v>
      </c>
      <c r="I716" s="13" t="n">
        <v>2315.7</v>
      </c>
      <c r="J716" s="13" t="n">
        <v>369.75</v>
      </c>
      <c r="K716" s="16" t="n">
        <v>28</v>
      </c>
      <c r="L716" t="inlineStr">
        <is>
          <t>Pending</t>
        </is>
      </c>
      <c r="M716" t="inlineStr">
        <is>
          <t>PAY01</t>
        </is>
      </c>
      <c r="N716" t="inlineStr">
        <is>
          <t>Afternoon</t>
        </is>
      </c>
      <c r="O716">
        <f>INDEX(Products_Catalog!$B$2:$B$151, MATCH(C716, Products_Catalog!$A$2:$A$151, 0))</f>
        <v/>
      </c>
      <c r="P716" s="13">
        <f>INDEX(Products_Catalog!$D$2:$D$151, MATCH(C716, Products_Catalog!$A$2:$A$151, 0))</f>
        <v/>
      </c>
      <c r="Q716" s="13">
        <f>I716-J716</f>
        <v/>
      </c>
      <c r="R716" s="15">
        <f>IF(K716&gt;20, "BREACH", "OK")</f>
        <v/>
      </c>
    </row>
    <row r="717">
      <c r="A717" t="inlineStr">
        <is>
          <t>ORD01830</t>
        </is>
      </c>
      <c r="B717" t="inlineStr">
        <is>
          <t>CUST0010</t>
        </is>
      </c>
      <c r="C717" t="inlineStr">
        <is>
          <t>PROD073</t>
        </is>
      </c>
      <c r="D717" t="inlineStr">
        <is>
          <t>STORE020</t>
        </is>
      </c>
      <c r="E717" t="inlineStr">
        <is>
          <t>DP022</t>
        </is>
      </c>
      <c r="F717" t="inlineStr">
        <is>
          <t>2024-10-16 13:27:00</t>
        </is>
      </c>
      <c r="G717" t="inlineStr">
        <is>
          <t>2024-10-16 13:57:00</t>
        </is>
      </c>
      <c r="H717" s="14" t="n">
        <v>3</v>
      </c>
      <c r="I717" s="13" t="n">
        <v>215.85</v>
      </c>
      <c r="J717" s="13" t="n">
        <v>16.51</v>
      </c>
      <c r="K717" s="16" t="n">
        <v>30</v>
      </c>
      <c r="L717" t="inlineStr">
        <is>
          <t>Returned</t>
        </is>
      </c>
      <c r="M717" t="inlineStr">
        <is>
          <t>PAY04</t>
        </is>
      </c>
      <c r="N717" t="inlineStr">
        <is>
          <t>Afternoon</t>
        </is>
      </c>
      <c r="O717">
        <f>INDEX(Products_Catalog!$B$2:$B$151, MATCH(C717, Products_Catalog!$A$2:$A$151, 0))</f>
        <v/>
      </c>
      <c r="P717" s="13">
        <f>INDEX(Products_Catalog!$D$2:$D$151, MATCH(C717, Products_Catalog!$A$2:$A$151, 0))</f>
        <v/>
      </c>
      <c r="Q717" s="13">
        <f>I717-J717</f>
        <v/>
      </c>
      <c r="R717" s="15">
        <f>IF(K717&gt;20, "BREACH", "OK")</f>
        <v/>
      </c>
    </row>
    <row r="718">
      <c r="A718" t="inlineStr">
        <is>
          <t>ORD01831</t>
        </is>
      </c>
      <c r="B718" t="inlineStr">
        <is>
          <t>CUST0030</t>
        </is>
      </c>
      <c r="C718" t="inlineStr">
        <is>
          <t>PROD098</t>
        </is>
      </c>
      <c r="D718" t="inlineStr">
        <is>
          <t>STORE035</t>
        </is>
      </c>
      <c r="E718" t="inlineStr">
        <is>
          <t>DP011</t>
        </is>
      </c>
      <c r="F718" t="inlineStr">
        <is>
          <t>2024-01-20 20:41:00</t>
        </is>
      </c>
      <c r="G718" t="inlineStr">
        <is>
          <t>2024-01-20 20:51:00</t>
        </is>
      </c>
      <c r="H718" s="14" t="n">
        <v>5</v>
      </c>
      <c r="I718" s="13" t="n">
        <v>1464.05</v>
      </c>
      <c r="J718" s="13" t="n">
        <v>185.53</v>
      </c>
      <c r="K718" s="16" t="n">
        <v>10</v>
      </c>
      <c r="L718" t="inlineStr">
        <is>
          <t>Cancelled</t>
        </is>
      </c>
      <c r="M718" t="inlineStr">
        <is>
          <t>PAY03</t>
        </is>
      </c>
      <c r="N718" t="inlineStr">
        <is>
          <t>Evening</t>
        </is>
      </c>
      <c r="O718">
        <f>INDEX(Products_Catalog!$B$2:$B$151, MATCH(C718, Products_Catalog!$A$2:$A$151, 0))</f>
        <v/>
      </c>
      <c r="P718" s="13">
        <f>INDEX(Products_Catalog!$D$2:$D$151, MATCH(C718, Products_Catalog!$A$2:$A$151, 0))</f>
        <v/>
      </c>
      <c r="Q718" s="13">
        <f>I718-J718</f>
        <v/>
      </c>
      <c r="R718" s="15">
        <f>IF(K718&gt;20, "BREACH", "OK")</f>
        <v/>
      </c>
    </row>
    <row r="719">
      <c r="A719" t="inlineStr">
        <is>
          <t>ORD01833</t>
        </is>
      </c>
      <c r="B719" t="inlineStr">
        <is>
          <t>CUST0031</t>
        </is>
      </c>
      <c r="C719" t="inlineStr">
        <is>
          <t>PROD090</t>
        </is>
      </c>
      <c r="D719" t="inlineStr">
        <is>
          <t>STORE043</t>
        </is>
      </c>
      <c r="E719" t="inlineStr">
        <is>
          <t>DP004</t>
        </is>
      </c>
      <c r="F719" t="inlineStr">
        <is>
          <t>2025-06-24 15:45:00</t>
        </is>
      </c>
      <c r="G719" t="inlineStr">
        <is>
          <t>2025-06-24 15:57:00</t>
        </is>
      </c>
      <c r="H719" s="14" t="n">
        <v>2</v>
      </c>
      <c r="I719" s="13" t="n">
        <v>905.4400000000001</v>
      </c>
      <c r="J719" s="13" t="n">
        <v>232.71</v>
      </c>
      <c r="K719" s="16" t="n">
        <v>12</v>
      </c>
      <c r="L719" t="inlineStr">
        <is>
          <t>Cancelled</t>
        </is>
      </c>
      <c r="M719" t="inlineStr">
        <is>
          <t>PAY04</t>
        </is>
      </c>
      <c r="N719" t="inlineStr">
        <is>
          <t>Afternoon</t>
        </is>
      </c>
      <c r="O719">
        <f>INDEX(Products_Catalog!$B$2:$B$151, MATCH(C719, Products_Catalog!$A$2:$A$151, 0))</f>
        <v/>
      </c>
      <c r="P719" s="13">
        <f>INDEX(Products_Catalog!$D$2:$D$151, MATCH(C719, Products_Catalog!$A$2:$A$151, 0))</f>
        <v/>
      </c>
      <c r="Q719" s="13">
        <f>I719-J719</f>
        <v/>
      </c>
      <c r="R719" s="15">
        <f>IF(K719&gt;20, "BREACH", "OK")</f>
        <v/>
      </c>
    </row>
    <row r="720">
      <c r="A720" t="inlineStr">
        <is>
          <t>ORD01834</t>
        </is>
      </c>
      <c r="B720" t="inlineStr">
        <is>
          <t>CUST0033</t>
        </is>
      </c>
      <c r="C720" t="inlineStr">
        <is>
          <t>PROD002</t>
        </is>
      </c>
      <c r="D720" t="inlineStr">
        <is>
          <t>STORE001</t>
        </is>
      </c>
      <c r="E720" t="inlineStr">
        <is>
          <t>DP006</t>
        </is>
      </c>
      <c r="F720" t="inlineStr">
        <is>
          <t>2024-10-12 11:23:00</t>
        </is>
      </c>
      <c r="G720" t="inlineStr">
        <is>
          <t>2024-10-12 11:36:00</t>
        </is>
      </c>
      <c r="H720" s="14" t="n">
        <v>1</v>
      </c>
      <c r="I720" s="13" t="n">
        <v>121.27</v>
      </c>
      <c r="J720" s="13" t="n">
        <v>16.14</v>
      </c>
      <c r="K720" s="16" t="n">
        <v>13</v>
      </c>
      <c r="L720" t="inlineStr">
        <is>
          <t>Delivered</t>
        </is>
      </c>
      <c r="M720" t="inlineStr">
        <is>
          <t>PAY04</t>
        </is>
      </c>
      <c r="N720" t="inlineStr">
        <is>
          <t>Morning</t>
        </is>
      </c>
      <c r="O720">
        <f>INDEX(Products_Catalog!$B$2:$B$151, MATCH(C720, Products_Catalog!$A$2:$A$151, 0))</f>
        <v/>
      </c>
      <c r="P720" s="13">
        <f>INDEX(Products_Catalog!$D$2:$D$151, MATCH(C720, Products_Catalog!$A$2:$A$151, 0))</f>
        <v/>
      </c>
      <c r="Q720" s="13">
        <f>I720-J720</f>
        <v/>
      </c>
      <c r="R720" s="15">
        <f>IF(K720&gt;20, "BREACH", "OK")</f>
        <v/>
      </c>
    </row>
    <row r="721">
      <c r="A721" t="inlineStr">
        <is>
          <t>ORD01835</t>
        </is>
      </c>
      <c r="B721" t="inlineStr">
        <is>
          <t>CUST0025</t>
        </is>
      </c>
      <c r="C721" t="inlineStr">
        <is>
          <t>PROD039</t>
        </is>
      </c>
      <c r="D721" t="inlineStr">
        <is>
          <t>STORE021</t>
        </is>
      </c>
      <c r="E721" t="inlineStr">
        <is>
          <t>DP031</t>
        </is>
      </c>
      <c r="F721" t="inlineStr">
        <is>
          <t>2024-05-10 12:45:00</t>
        </is>
      </c>
      <c r="G721" t="inlineStr">
        <is>
          <t>2024-05-10 12:59:00</t>
        </is>
      </c>
      <c r="H721" s="14" t="n">
        <v>9</v>
      </c>
      <c r="I721" s="13" t="n">
        <v>3960.45</v>
      </c>
      <c r="J721" s="13" t="n">
        <v>557.66</v>
      </c>
      <c r="K721" s="16" t="n">
        <v>14</v>
      </c>
      <c r="L721" t="inlineStr">
        <is>
          <t>Returned</t>
        </is>
      </c>
      <c r="M721" t="inlineStr">
        <is>
          <t>PAY05</t>
        </is>
      </c>
      <c r="N721" t="inlineStr">
        <is>
          <t>Afternoon</t>
        </is>
      </c>
      <c r="O721">
        <f>INDEX(Products_Catalog!$B$2:$B$151, MATCH(C721, Products_Catalog!$A$2:$A$151, 0))</f>
        <v/>
      </c>
      <c r="P721" s="13">
        <f>INDEX(Products_Catalog!$D$2:$D$151, MATCH(C721, Products_Catalog!$A$2:$A$151, 0))</f>
        <v/>
      </c>
      <c r="Q721" s="13">
        <f>I721-J721</f>
        <v/>
      </c>
      <c r="R721" s="15">
        <f>IF(K721&gt;20, "BREACH", "OK")</f>
        <v/>
      </c>
    </row>
    <row r="722">
      <c r="A722" t="inlineStr">
        <is>
          <t>ORD01836</t>
        </is>
      </c>
      <c r="B722" t="inlineStr">
        <is>
          <t>CUST0027</t>
        </is>
      </c>
      <c r="C722" t="inlineStr">
        <is>
          <t>PROD138</t>
        </is>
      </c>
      <c r="D722" t="inlineStr">
        <is>
          <t>STORE017</t>
        </is>
      </c>
      <c r="E722" t="inlineStr">
        <is>
          <t>DP041</t>
        </is>
      </c>
      <c r="F722" t="inlineStr">
        <is>
          <t>2024-10-11 15:58:00</t>
        </is>
      </c>
      <c r="G722" t="inlineStr">
        <is>
          <t>2024-10-11 16:23:00</t>
        </is>
      </c>
      <c r="H722" s="14" t="n">
        <v>3</v>
      </c>
      <c r="I722" s="13" t="n">
        <v>286.05</v>
      </c>
      <c r="J722" s="13" t="n">
        <v>29.86</v>
      </c>
      <c r="K722" s="16" t="n">
        <v>25</v>
      </c>
      <c r="L722" t="inlineStr">
        <is>
          <t>Cancelled</t>
        </is>
      </c>
      <c r="M722" t="inlineStr">
        <is>
          <t>PAY04</t>
        </is>
      </c>
      <c r="N722" t="inlineStr">
        <is>
          <t>Afternoon</t>
        </is>
      </c>
      <c r="O722">
        <f>INDEX(Products_Catalog!$B$2:$B$151, MATCH(C722, Products_Catalog!$A$2:$A$151, 0))</f>
        <v/>
      </c>
      <c r="P722" s="13">
        <f>INDEX(Products_Catalog!$D$2:$D$151, MATCH(C722, Products_Catalog!$A$2:$A$151, 0))</f>
        <v/>
      </c>
      <c r="Q722" s="13">
        <f>I722-J722</f>
        <v/>
      </c>
      <c r="R722" s="15">
        <f>IF(K722&gt;20, "BREACH", "OK")</f>
        <v/>
      </c>
    </row>
    <row r="723">
      <c r="A723" t="inlineStr">
        <is>
          <t>ORD01837</t>
        </is>
      </c>
      <c r="B723" t="inlineStr">
        <is>
          <t>CUST0017</t>
        </is>
      </c>
      <c r="C723" t="inlineStr">
        <is>
          <t>PROD064</t>
        </is>
      </c>
      <c r="D723" t="inlineStr">
        <is>
          <t>STORE041</t>
        </is>
      </c>
      <c r="E723" t="inlineStr">
        <is>
          <t>DP035</t>
        </is>
      </c>
      <c r="F723" t="inlineStr">
        <is>
          <t>2024-12-02 08:30:00</t>
        </is>
      </c>
      <c r="G723" t="inlineStr">
        <is>
          <t>2024-12-02 08:56:00</t>
        </is>
      </c>
      <c r="H723" s="14" t="n">
        <v>10</v>
      </c>
      <c r="I723" s="13" t="n">
        <v>2827.1</v>
      </c>
      <c r="J723" s="13" t="n">
        <v>357.23</v>
      </c>
      <c r="K723" s="16" t="n">
        <v>26</v>
      </c>
      <c r="L723" t="inlineStr">
        <is>
          <t>Returned</t>
        </is>
      </c>
      <c r="M723" t="inlineStr">
        <is>
          <t>PAY04</t>
        </is>
      </c>
      <c r="N723" t="inlineStr">
        <is>
          <t>Morning</t>
        </is>
      </c>
      <c r="O723">
        <f>INDEX(Products_Catalog!$B$2:$B$151, MATCH(C723, Products_Catalog!$A$2:$A$151, 0))</f>
        <v/>
      </c>
      <c r="P723" s="13">
        <f>INDEX(Products_Catalog!$D$2:$D$151, MATCH(C723, Products_Catalog!$A$2:$A$151, 0))</f>
        <v/>
      </c>
      <c r="Q723" s="13">
        <f>I723-J723</f>
        <v/>
      </c>
      <c r="R723" s="15">
        <f>IF(K723&gt;20, "BREACH", "OK")</f>
        <v/>
      </c>
    </row>
    <row r="724">
      <c r="A724" t="inlineStr">
        <is>
          <t>ORD01838</t>
        </is>
      </c>
      <c r="B724" t="inlineStr">
        <is>
          <t>CUST0045</t>
        </is>
      </c>
      <c r="C724" t="inlineStr">
        <is>
          <t>PROD049</t>
        </is>
      </c>
      <c r="D724" t="inlineStr">
        <is>
          <t>STORE001</t>
        </is>
      </c>
      <c r="E724" t="inlineStr">
        <is>
          <t>DP021</t>
        </is>
      </c>
      <c r="F724" t="inlineStr">
        <is>
          <t>2024-05-27 12:26:00</t>
        </is>
      </c>
      <c r="G724" t="inlineStr">
        <is>
          <t>2024-05-27 12:53:00</t>
        </is>
      </c>
      <c r="H724" s="14" t="n">
        <v>5</v>
      </c>
      <c r="I724" s="13" t="n">
        <v>1894.2</v>
      </c>
      <c r="J724" s="13" t="n">
        <v>150.51</v>
      </c>
      <c r="K724" s="16" t="n">
        <v>27</v>
      </c>
      <c r="L724" t="inlineStr">
        <is>
          <t>Delivered</t>
        </is>
      </c>
      <c r="M724" t="inlineStr">
        <is>
          <t>PAY02</t>
        </is>
      </c>
      <c r="N724" t="inlineStr">
        <is>
          <t>Afternoon</t>
        </is>
      </c>
      <c r="O724">
        <f>INDEX(Products_Catalog!$B$2:$B$151, MATCH(C724, Products_Catalog!$A$2:$A$151, 0))</f>
        <v/>
      </c>
      <c r="P724" s="13">
        <f>INDEX(Products_Catalog!$D$2:$D$151, MATCH(C724, Products_Catalog!$A$2:$A$151, 0))</f>
        <v/>
      </c>
      <c r="Q724" s="13">
        <f>I724-J724</f>
        <v/>
      </c>
      <c r="R724" s="15">
        <f>IF(K724&gt;20, "BREACH", "OK")</f>
        <v/>
      </c>
    </row>
    <row r="725">
      <c r="A725" t="inlineStr">
        <is>
          <t>ORD01839</t>
        </is>
      </c>
      <c r="B725" t="inlineStr">
        <is>
          <t>CUST0047</t>
        </is>
      </c>
      <c r="C725" t="inlineStr">
        <is>
          <t>PROD140</t>
        </is>
      </c>
      <c r="D725" t="inlineStr">
        <is>
          <t>STORE009</t>
        </is>
      </c>
      <c r="E725" t="inlineStr">
        <is>
          <t>DP019</t>
        </is>
      </c>
      <c r="F725" t="inlineStr">
        <is>
          <t>2025-02-03 08:41:00</t>
        </is>
      </c>
      <c r="G725" t="inlineStr">
        <is>
          <t>2025-02-03 09:09:00</t>
        </is>
      </c>
      <c r="H725" s="14" t="n">
        <v>10</v>
      </c>
      <c r="I725" s="13" t="n">
        <v>2809.7</v>
      </c>
      <c r="J725" s="13" t="n">
        <v>99.95999999999999</v>
      </c>
      <c r="K725" s="16" t="n">
        <v>28</v>
      </c>
      <c r="L725" t="inlineStr">
        <is>
          <t>Returned</t>
        </is>
      </c>
      <c r="M725" t="inlineStr">
        <is>
          <t>PAY05</t>
        </is>
      </c>
      <c r="N725" t="inlineStr">
        <is>
          <t>Morning</t>
        </is>
      </c>
      <c r="O725">
        <f>INDEX(Products_Catalog!$B$2:$B$151, MATCH(C725, Products_Catalog!$A$2:$A$151, 0))</f>
        <v/>
      </c>
      <c r="P725" s="13">
        <f>INDEX(Products_Catalog!$D$2:$D$151, MATCH(C725, Products_Catalog!$A$2:$A$151, 0))</f>
        <v/>
      </c>
      <c r="Q725" s="13">
        <f>I725-J725</f>
        <v/>
      </c>
      <c r="R725" s="15">
        <f>IF(K725&gt;20, "BREACH", "OK")</f>
        <v/>
      </c>
    </row>
    <row r="726">
      <c r="A726" t="inlineStr">
        <is>
          <t>ORD01841</t>
        </is>
      </c>
      <c r="B726" t="inlineStr">
        <is>
          <t>CUST0038</t>
        </is>
      </c>
      <c r="C726" t="inlineStr">
        <is>
          <t>PROD031</t>
        </is>
      </c>
      <c r="D726" t="inlineStr">
        <is>
          <t>STORE003</t>
        </is>
      </c>
      <c r="E726" t="inlineStr">
        <is>
          <t>DP018</t>
        </is>
      </c>
      <c r="F726" t="inlineStr">
        <is>
          <t>2024-01-15 14:04:00</t>
        </is>
      </c>
      <c r="G726" t="inlineStr">
        <is>
          <t>2024-01-15 14:34:00</t>
        </is>
      </c>
      <c r="H726" s="14" t="n">
        <v>8</v>
      </c>
      <c r="I726" s="13" t="n">
        <v>2469.6</v>
      </c>
      <c r="J726" s="13" t="n">
        <v>260.35</v>
      </c>
      <c r="K726" s="16" t="n">
        <v>30</v>
      </c>
      <c r="L726" t="inlineStr">
        <is>
          <t>Pending</t>
        </is>
      </c>
      <c r="M726" t="inlineStr">
        <is>
          <t>PAY04</t>
        </is>
      </c>
      <c r="N726" t="inlineStr">
        <is>
          <t>Afternoon</t>
        </is>
      </c>
      <c r="O726">
        <f>INDEX(Products_Catalog!$B$2:$B$151, MATCH(C726, Products_Catalog!$A$2:$A$151, 0))</f>
        <v/>
      </c>
      <c r="P726" s="13">
        <f>INDEX(Products_Catalog!$D$2:$D$151, MATCH(C726, Products_Catalog!$A$2:$A$151, 0))</f>
        <v/>
      </c>
      <c r="Q726" s="13">
        <f>I726-J726</f>
        <v/>
      </c>
      <c r="R726" s="15">
        <f>IF(K726&gt;20, "BREACH", "OK")</f>
        <v/>
      </c>
    </row>
    <row r="727">
      <c r="A727" t="inlineStr">
        <is>
          <t>ORD01843</t>
        </is>
      </c>
      <c r="B727" t="inlineStr">
        <is>
          <t>CUST0028</t>
        </is>
      </c>
      <c r="C727" t="inlineStr">
        <is>
          <t>PROD028</t>
        </is>
      </c>
      <c r="D727" t="inlineStr">
        <is>
          <t>STORE003</t>
        </is>
      </c>
      <c r="E727" t="inlineStr">
        <is>
          <t>DP013</t>
        </is>
      </c>
      <c r="F727" t="inlineStr">
        <is>
          <t>2024-03-16 10:29:00</t>
        </is>
      </c>
      <c r="G727" t="inlineStr">
        <is>
          <t>2024-03-16 10:40:00</t>
        </is>
      </c>
      <c r="H727" s="14" t="n">
        <v>1</v>
      </c>
      <c r="I727" s="13" t="n">
        <v>224.79</v>
      </c>
      <c r="J727" s="13" t="n">
        <v>62.58</v>
      </c>
      <c r="K727" s="16" t="n">
        <v>11</v>
      </c>
      <c r="L727" t="inlineStr">
        <is>
          <t>Returned</t>
        </is>
      </c>
      <c r="M727" t="inlineStr">
        <is>
          <t>PAY01</t>
        </is>
      </c>
      <c r="N727" t="inlineStr">
        <is>
          <t>Morning</t>
        </is>
      </c>
      <c r="O727">
        <f>INDEX(Products_Catalog!$B$2:$B$151, MATCH(C727, Products_Catalog!$A$2:$A$151, 0))</f>
        <v/>
      </c>
      <c r="P727" s="13">
        <f>INDEX(Products_Catalog!$D$2:$D$151, MATCH(C727, Products_Catalog!$A$2:$A$151, 0))</f>
        <v/>
      </c>
      <c r="Q727" s="13">
        <f>I727-J727</f>
        <v/>
      </c>
      <c r="R727" s="15">
        <f>IF(K727&gt;20, "BREACH", "OK")</f>
        <v/>
      </c>
    </row>
    <row r="728">
      <c r="A728" t="inlineStr">
        <is>
          <t>ORD01845</t>
        </is>
      </c>
      <c r="B728" t="inlineStr">
        <is>
          <t>CUST0045</t>
        </is>
      </c>
      <c r="C728" t="inlineStr">
        <is>
          <t>PROD016</t>
        </is>
      </c>
      <c r="D728" t="inlineStr">
        <is>
          <t>STORE031</t>
        </is>
      </c>
      <c r="E728" t="inlineStr">
        <is>
          <t>DP025</t>
        </is>
      </c>
      <c r="F728" t="inlineStr">
        <is>
          <t>2025-04-11 14:40:00</t>
        </is>
      </c>
      <c r="G728" t="inlineStr">
        <is>
          <t>2025-04-11 14:53:00</t>
        </is>
      </c>
      <c r="H728" s="14" t="n">
        <v>1</v>
      </c>
      <c r="I728" s="13" t="n">
        <v>426.46</v>
      </c>
      <c r="J728" s="13" t="n">
        <v>66.04000000000001</v>
      </c>
      <c r="K728" s="16" t="n">
        <v>13</v>
      </c>
      <c r="L728" t="inlineStr">
        <is>
          <t>Shipped</t>
        </is>
      </c>
      <c r="M728" t="inlineStr">
        <is>
          <t>PAY01</t>
        </is>
      </c>
      <c r="N728" t="inlineStr">
        <is>
          <t>Afternoon</t>
        </is>
      </c>
      <c r="O728">
        <f>INDEX(Products_Catalog!$B$2:$B$151, MATCH(C728, Products_Catalog!$A$2:$A$151, 0))</f>
        <v/>
      </c>
      <c r="P728" s="13">
        <f>INDEX(Products_Catalog!$D$2:$D$151, MATCH(C728, Products_Catalog!$A$2:$A$151, 0))</f>
        <v/>
      </c>
      <c r="Q728" s="13">
        <f>I728-J728</f>
        <v/>
      </c>
      <c r="R728" s="15">
        <f>IF(K728&gt;20, "BREACH", "OK")</f>
        <v/>
      </c>
    </row>
    <row r="729">
      <c r="A729" t="inlineStr">
        <is>
          <t>ORD01846</t>
        </is>
      </c>
      <c r="B729" t="inlineStr">
        <is>
          <t>CUST0002</t>
        </is>
      </c>
      <c r="C729" t="inlineStr">
        <is>
          <t>PROD121</t>
        </is>
      </c>
      <c r="D729" t="inlineStr">
        <is>
          <t>STORE041</t>
        </is>
      </c>
      <c r="E729" t="inlineStr">
        <is>
          <t>DP028</t>
        </is>
      </c>
      <c r="F729" t="inlineStr">
        <is>
          <t>2024-07-12 14:52:00</t>
        </is>
      </c>
      <c r="G729" t="inlineStr">
        <is>
          <t>2024-07-12 15:06:00</t>
        </is>
      </c>
      <c r="H729" s="14" t="n">
        <v>7</v>
      </c>
      <c r="I729" s="13" t="n">
        <v>3072.72</v>
      </c>
      <c r="J729" s="13" t="n">
        <v>866.47</v>
      </c>
      <c r="K729" s="16" t="n">
        <v>14</v>
      </c>
      <c r="L729" t="inlineStr">
        <is>
          <t>Cancelled</t>
        </is>
      </c>
      <c r="M729" t="inlineStr">
        <is>
          <t>PAY02</t>
        </is>
      </c>
      <c r="N729" t="inlineStr">
        <is>
          <t>Afternoon</t>
        </is>
      </c>
      <c r="O729">
        <f>INDEX(Products_Catalog!$B$2:$B$151, MATCH(C729, Products_Catalog!$A$2:$A$151, 0))</f>
        <v/>
      </c>
      <c r="P729" s="13">
        <f>INDEX(Products_Catalog!$D$2:$D$151, MATCH(C729, Products_Catalog!$A$2:$A$151, 0))</f>
        <v/>
      </c>
      <c r="Q729" s="13">
        <f>I729-J729</f>
        <v/>
      </c>
      <c r="R729" s="15">
        <f>IF(K729&gt;20, "BREACH", "OK")</f>
        <v/>
      </c>
    </row>
    <row r="730">
      <c r="A730" t="inlineStr">
        <is>
          <t>ORD01848</t>
        </is>
      </c>
      <c r="B730" t="inlineStr">
        <is>
          <t>CUST0010</t>
        </is>
      </c>
      <c r="C730" t="inlineStr">
        <is>
          <t>PROD055</t>
        </is>
      </c>
      <c r="D730" t="inlineStr">
        <is>
          <t>STORE046</t>
        </is>
      </c>
      <c r="E730" t="inlineStr">
        <is>
          <t>DP022</t>
        </is>
      </c>
      <c r="F730" t="inlineStr">
        <is>
          <t>2024-03-28 15:04:00</t>
        </is>
      </c>
      <c r="G730" t="inlineStr">
        <is>
          <t>2024-03-28 15:20:00</t>
        </is>
      </c>
      <c r="H730" s="14" t="n">
        <v>1</v>
      </c>
      <c r="I730" s="13" t="n">
        <v>228.81</v>
      </c>
      <c r="J730" s="13" t="n">
        <v>31.12</v>
      </c>
      <c r="K730" s="16" t="n">
        <v>16</v>
      </c>
      <c r="L730" t="inlineStr">
        <is>
          <t>Returned</t>
        </is>
      </c>
      <c r="M730" t="inlineStr">
        <is>
          <t>PAY01</t>
        </is>
      </c>
      <c r="N730" t="inlineStr">
        <is>
          <t>Afternoon</t>
        </is>
      </c>
      <c r="O730">
        <f>INDEX(Products_Catalog!$B$2:$B$151, MATCH(C730, Products_Catalog!$A$2:$A$151, 0))</f>
        <v/>
      </c>
      <c r="P730" s="13">
        <f>INDEX(Products_Catalog!$D$2:$D$151, MATCH(C730, Products_Catalog!$A$2:$A$151, 0))</f>
        <v/>
      </c>
      <c r="Q730" s="13">
        <f>I730-J730</f>
        <v/>
      </c>
      <c r="R730" s="15">
        <f>IF(K730&gt;20, "BREACH", "OK")</f>
        <v/>
      </c>
    </row>
    <row r="731">
      <c r="A731" t="inlineStr">
        <is>
          <t>ORD01849</t>
        </is>
      </c>
      <c r="B731" t="inlineStr">
        <is>
          <t>CUST0040</t>
        </is>
      </c>
      <c r="C731" t="inlineStr">
        <is>
          <t>PROD108</t>
        </is>
      </c>
      <c r="D731" t="inlineStr">
        <is>
          <t>STORE009</t>
        </is>
      </c>
      <c r="E731" t="inlineStr">
        <is>
          <t>DP016</t>
        </is>
      </c>
      <c r="F731" t="inlineStr">
        <is>
          <t>2024-11-21 14:31:00</t>
        </is>
      </c>
      <c r="G731" t="inlineStr">
        <is>
          <t>2024-11-21 14:48:00</t>
        </is>
      </c>
      <c r="H731" s="14" t="n">
        <v>10</v>
      </c>
      <c r="I731" s="13" t="n">
        <v>1383.1</v>
      </c>
      <c r="J731" s="13" t="n">
        <v>152.79</v>
      </c>
      <c r="K731" s="16" t="n">
        <v>17</v>
      </c>
      <c r="L731" t="inlineStr">
        <is>
          <t>Delivered</t>
        </is>
      </c>
      <c r="M731" t="inlineStr">
        <is>
          <t>PAY03</t>
        </is>
      </c>
      <c r="N731" t="inlineStr">
        <is>
          <t>Afternoon</t>
        </is>
      </c>
      <c r="O731">
        <f>INDEX(Products_Catalog!$B$2:$B$151, MATCH(C731, Products_Catalog!$A$2:$A$151, 0))</f>
        <v/>
      </c>
      <c r="P731" s="13">
        <f>INDEX(Products_Catalog!$D$2:$D$151, MATCH(C731, Products_Catalog!$A$2:$A$151, 0))</f>
        <v/>
      </c>
      <c r="Q731" s="13">
        <f>I731-J731</f>
        <v/>
      </c>
      <c r="R731" s="15">
        <f>IF(K731&gt;20, "BREACH", "OK")</f>
        <v/>
      </c>
    </row>
    <row r="732">
      <c r="A732" t="inlineStr">
        <is>
          <t>ORD01850</t>
        </is>
      </c>
      <c r="B732" t="inlineStr">
        <is>
          <t>CUST0043</t>
        </is>
      </c>
      <c r="C732" t="inlineStr">
        <is>
          <t>PROD103</t>
        </is>
      </c>
      <c r="D732" t="inlineStr">
        <is>
          <t>STORE020</t>
        </is>
      </c>
      <c r="E732" t="inlineStr">
        <is>
          <t>DP028</t>
        </is>
      </c>
      <c r="F732" t="inlineStr">
        <is>
          <t>2024-01-27 09:16:00</t>
        </is>
      </c>
      <c r="G732" t="inlineStr">
        <is>
          <t>2024-01-27 09:34:00</t>
        </is>
      </c>
      <c r="H732" s="14" t="n">
        <v>5</v>
      </c>
      <c r="I732" s="13" t="n">
        <v>1481.1</v>
      </c>
      <c r="J732" s="13" t="n">
        <v>183.64</v>
      </c>
      <c r="K732" s="16" t="n">
        <v>18</v>
      </c>
      <c r="L732" t="inlineStr">
        <is>
          <t>Cancelled</t>
        </is>
      </c>
      <c r="M732" t="inlineStr">
        <is>
          <t>PAY05</t>
        </is>
      </c>
      <c r="N732" t="inlineStr">
        <is>
          <t>Morning</t>
        </is>
      </c>
      <c r="O732">
        <f>INDEX(Products_Catalog!$B$2:$B$151, MATCH(C732, Products_Catalog!$A$2:$A$151, 0))</f>
        <v/>
      </c>
      <c r="P732" s="13">
        <f>INDEX(Products_Catalog!$D$2:$D$151, MATCH(C732, Products_Catalog!$A$2:$A$151, 0))</f>
        <v/>
      </c>
      <c r="Q732" s="13">
        <f>I732-J732</f>
        <v/>
      </c>
      <c r="R732" s="15">
        <f>IF(K732&gt;20, "BREACH", "OK")</f>
        <v/>
      </c>
    </row>
    <row r="733">
      <c r="A733" t="inlineStr">
        <is>
          <t>ORD01851</t>
        </is>
      </c>
      <c r="B733" t="inlineStr">
        <is>
          <t>CUST0048</t>
        </is>
      </c>
      <c r="C733" t="inlineStr">
        <is>
          <t>PROD031</t>
        </is>
      </c>
      <c r="D733" t="inlineStr">
        <is>
          <t>STORE042</t>
        </is>
      </c>
      <c r="E733" t="inlineStr">
        <is>
          <t>DP032</t>
        </is>
      </c>
      <c r="F733" t="inlineStr">
        <is>
          <t>2024-08-27 16:21:00</t>
        </is>
      </c>
      <c r="G733" t="inlineStr">
        <is>
          <t>2024-08-27 16:34:00</t>
        </is>
      </c>
      <c r="H733" s="14" t="n">
        <v>2</v>
      </c>
      <c r="I733" s="13" t="n">
        <v>756.1</v>
      </c>
      <c r="J733" s="13" t="n">
        <v>161.6</v>
      </c>
      <c r="K733" s="16" t="n">
        <v>13</v>
      </c>
      <c r="L733" t="inlineStr">
        <is>
          <t>Pending</t>
        </is>
      </c>
      <c r="M733" t="inlineStr">
        <is>
          <t>PAY04</t>
        </is>
      </c>
      <c r="N733" t="inlineStr">
        <is>
          <t>Afternoon</t>
        </is>
      </c>
      <c r="O733">
        <f>INDEX(Products_Catalog!$B$2:$B$151, MATCH(C733, Products_Catalog!$A$2:$A$151, 0))</f>
        <v/>
      </c>
      <c r="P733" s="13">
        <f>INDEX(Products_Catalog!$D$2:$D$151, MATCH(C733, Products_Catalog!$A$2:$A$151, 0))</f>
        <v/>
      </c>
      <c r="Q733" s="13">
        <f>I733-J733</f>
        <v/>
      </c>
      <c r="R733" s="15">
        <f>IF(K733&gt;20, "BREACH", "OK")</f>
        <v/>
      </c>
    </row>
    <row r="734">
      <c r="A734" t="inlineStr">
        <is>
          <t>ORD01852</t>
        </is>
      </c>
      <c r="B734" t="inlineStr">
        <is>
          <t>CUST0016</t>
        </is>
      </c>
      <c r="C734" t="inlineStr">
        <is>
          <t>PROD018</t>
        </is>
      </c>
      <c r="D734" t="inlineStr">
        <is>
          <t>STORE009</t>
        </is>
      </c>
      <c r="E734" t="inlineStr">
        <is>
          <t>DP010</t>
        </is>
      </c>
      <c r="F734" t="inlineStr">
        <is>
          <t>2025-01-10 10:10:00</t>
        </is>
      </c>
      <c r="G734" t="inlineStr">
        <is>
          <t>2025-01-10 10:24:00</t>
        </is>
      </c>
      <c r="H734" s="14" t="n">
        <v>9</v>
      </c>
      <c r="I734" s="13" t="n">
        <v>1956.87</v>
      </c>
      <c r="J734" s="13" t="n">
        <v>36.58</v>
      </c>
      <c r="K734" s="16" t="n">
        <v>14</v>
      </c>
      <c r="L734" t="inlineStr">
        <is>
          <t>Cancelled</t>
        </is>
      </c>
      <c r="M734" t="inlineStr">
        <is>
          <t>PAY02</t>
        </is>
      </c>
      <c r="N734" t="inlineStr">
        <is>
          <t>Morning</t>
        </is>
      </c>
      <c r="O734">
        <f>INDEX(Products_Catalog!$B$2:$B$151, MATCH(C734, Products_Catalog!$A$2:$A$151, 0))</f>
        <v/>
      </c>
      <c r="P734" s="13">
        <f>INDEX(Products_Catalog!$D$2:$D$151, MATCH(C734, Products_Catalog!$A$2:$A$151, 0))</f>
        <v/>
      </c>
      <c r="Q734" s="13">
        <f>I734-J734</f>
        <v/>
      </c>
      <c r="R734" s="15">
        <f>IF(K734&gt;20, "BREACH", "OK")</f>
        <v/>
      </c>
    </row>
    <row r="735">
      <c r="A735" t="inlineStr">
        <is>
          <t>ORD01853</t>
        </is>
      </c>
      <c r="B735" t="inlineStr">
        <is>
          <t>CUST0018</t>
        </is>
      </c>
      <c r="C735" t="inlineStr">
        <is>
          <t>PROD097</t>
        </is>
      </c>
      <c r="D735" t="inlineStr">
        <is>
          <t>STORE048</t>
        </is>
      </c>
      <c r="E735" t="inlineStr">
        <is>
          <t>DP009</t>
        </is>
      </c>
      <c r="F735" t="inlineStr">
        <is>
          <t>2024-08-28 11:04:00</t>
        </is>
      </c>
      <c r="G735" t="inlineStr">
        <is>
          <t>2024-08-28 11:23:00</t>
        </is>
      </c>
      <c r="H735" s="14" t="n">
        <v>5</v>
      </c>
      <c r="I735" s="13" t="n">
        <v>631.25</v>
      </c>
      <c r="J735" s="13" t="n">
        <v>121.92</v>
      </c>
      <c r="K735" s="16" t="n">
        <v>19</v>
      </c>
      <c r="L735" t="inlineStr">
        <is>
          <t>Shipped</t>
        </is>
      </c>
      <c r="M735" t="inlineStr">
        <is>
          <t>PAY03</t>
        </is>
      </c>
      <c r="N735" t="inlineStr">
        <is>
          <t>Morning</t>
        </is>
      </c>
      <c r="O735">
        <f>INDEX(Products_Catalog!$B$2:$B$151, MATCH(C735, Products_Catalog!$A$2:$A$151, 0))</f>
        <v/>
      </c>
      <c r="P735" s="13">
        <f>INDEX(Products_Catalog!$D$2:$D$151, MATCH(C735, Products_Catalog!$A$2:$A$151, 0))</f>
        <v/>
      </c>
      <c r="Q735" s="13">
        <f>I735-J735</f>
        <v/>
      </c>
      <c r="R735" s="15">
        <f>IF(K735&gt;20, "BREACH", "OK")</f>
        <v/>
      </c>
    </row>
    <row r="736">
      <c r="A736" t="inlineStr">
        <is>
          <t>ORD01854</t>
        </is>
      </c>
      <c r="B736" t="inlineStr">
        <is>
          <t>CUST0032</t>
        </is>
      </c>
      <c r="C736" t="inlineStr">
        <is>
          <t>PROD091</t>
        </is>
      </c>
      <c r="D736" t="inlineStr">
        <is>
          <t>STORE001</t>
        </is>
      </c>
      <c r="E736" t="inlineStr">
        <is>
          <t>DP037</t>
        </is>
      </c>
      <c r="F736" t="inlineStr">
        <is>
          <t>2025-01-03 18:32:00</t>
        </is>
      </c>
      <c r="G736" t="inlineStr">
        <is>
          <t>2025-01-03 18:57:00</t>
        </is>
      </c>
      <c r="H736" s="14" t="n">
        <v>5</v>
      </c>
      <c r="I736" s="13" t="n">
        <v>254.6</v>
      </c>
      <c r="J736" s="13" t="n">
        <v>43.48</v>
      </c>
      <c r="K736" s="16" t="n">
        <v>25</v>
      </c>
      <c r="L736" t="inlineStr">
        <is>
          <t>Returned</t>
        </is>
      </c>
      <c r="M736" t="inlineStr">
        <is>
          <t>PAY04</t>
        </is>
      </c>
      <c r="N736" t="inlineStr">
        <is>
          <t>Evening</t>
        </is>
      </c>
      <c r="O736">
        <f>INDEX(Products_Catalog!$B$2:$B$151, MATCH(C736, Products_Catalog!$A$2:$A$151, 0))</f>
        <v/>
      </c>
      <c r="P736" s="13">
        <f>INDEX(Products_Catalog!$D$2:$D$151, MATCH(C736, Products_Catalog!$A$2:$A$151, 0))</f>
        <v/>
      </c>
      <c r="Q736" s="13">
        <f>I736-J736</f>
        <v/>
      </c>
      <c r="R736" s="15">
        <f>IF(K736&gt;20, "BREACH", "OK")</f>
        <v/>
      </c>
    </row>
    <row r="737">
      <c r="A737" t="inlineStr">
        <is>
          <t>ORD01855</t>
        </is>
      </c>
      <c r="B737" t="inlineStr">
        <is>
          <t>CUST0035</t>
        </is>
      </c>
      <c r="C737" t="inlineStr">
        <is>
          <t>PROD042</t>
        </is>
      </c>
      <c r="D737" t="inlineStr">
        <is>
          <t>STORE034</t>
        </is>
      </c>
      <c r="E737" t="inlineStr">
        <is>
          <t>DP005</t>
        </is>
      </c>
      <c r="F737" t="inlineStr">
        <is>
          <t>2025-01-27 14:37:00</t>
        </is>
      </c>
      <c r="G737" t="inlineStr">
        <is>
          <t>2025-01-27 15:03:00</t>
        </is>
      </c>
      <c r="H737" s="14" t="n">
        <v>8</v>
      </c>
      <c r="I737" s="13" t="n">
        <v>3788.64</v>
      </c>
      <c r="J737" s="13" t="n">
        <v>771.0700000000001</v>
      </c>
      <c r="K737" s="16" t="n">
        <v>26</v>
      </c>
      <c r="L737" t="inlineStr">
        <is>
          <t>Pending</t>
        </is>
      </c>
      <c r="M737" t="inlineStr">
        <is>
          <t>PAY05</t>
        </is>
      </c>
      <c r="N737" t="inlineStr">
        <is>
          <t>Afternoon</t>
        </is>
      </c>
      <c r="O737">
        <f>INDEX(Products_Catalog!$B$2:$B$151, MATCH(C737, Products_Catalog!$A$2:$A$151, 0))</f>
        <v/>
      </c>
      <c r="P737" s="13">
        <f>INDEX(Products_Catalog!$D$2:$D$151, MATCH(C737, Products_Catalog!$A$2:$A$151, 0))</f>
        <v/>
      </c>
      <c r="Q737" s="13">
        <f>I737-J737</f>
        <v/>
      </c>
      <c r="R737" s="15">
        <f>IF(K737&gt;20, "BREACH", "OK")</f>
        <v/>
      </c>
    </row>
    <row r="738">
      <c r="A738" t="inlineStr">
        <is>
          <t>ORD01857</t>
        </is>
      </c>
      <c r="B738" t="inlineStr">
        <is>
          <t>CUST0039</t>
        </is>
      </c>
      <c r="C738" t="inlineStr">
        <is>
          <t>PROD033</t>
        </is>
      </c>
      <c r="D738" t="inlineStr">
        <is>
          <t>STORE029</t>
        </is>
      </c>
      <c r="E738" t="inlineStr">
        <is>
          <t>DP006</t>
        </is>
      </c>
      <c r="F738" t="inlineStr">
        <is>
          <t>2024-03-01 12:26:00</t>
        </is>
      </c>
      <c r="G738" t="inlineStr">
        <is>
          <t>2024-03-01 12:54:00</t>
        </is>
      </c>
      <c r="H738" s="14" t="n">
        <v>8</v>
      </c>
      <c r="I738" s="13" t="n">
        <v>1832.16</v>
      </c>
      <c r="J738" s="13" t="n">
        <v>59.64</v>
      </c>
      <c r="K738" s="16" t="n">
        <v>28</v>
      </c>
      <c r="L738" t="inlineStr">
        <is>
          <t>Returned</t>
        </is>
      </c>
      <c r="M738" t="inlineStr">
        <is>
          <t>PAY02</t>
        </is>
      </c>
      <c r="N738" t="inlineStr">
        <is>
          <t>Afternoon</t>
        </is>
      </c>
      <c r="O738">
        <f>INDEX(Products_Catalog!$B$2:$B$151, MATCH(C738, Products_Catalog!$A$2:$A$151, 0))</f>
        <v/>
      </c>
      <c r="P738" s="13">
        <f>INDEX(Products_Catalog!$D$2:$D$151, MATCH(C738, Products_Catalog!$A$2:$A$151, 0))</f>
        <v/>
      </c>
      <c r="Q738" s="13">
        <f>I738-J738</f>
        <v/>
      </c>
      <c r="R738" s="15">
        <f>IF(K738&gt;20, "BREACH", "OK")</f>
        <v/>
      </c>
    </row>
    <row r="739">
      <c r="A739" t="inlineStr">
        <is>
          <t>ORD01858</t>
        </is>
      </c>
      <c r="B739" t="inlineStr">
        <is>
          <t>CUST0025</t>
        </is>
      </c>
      <c r="C739" t="inlineStr">
        <is>
          <t>PROD076</t>
        </is>
      </c>
      <c r="D739" t="inlineStr">
        <is>
          <t>STORE010</t>
        </is>
      </c>
      <c r="E739" t="inlineStr">
        <is>
          <t>DP043</t>
        </is>
      </c>
      <c r="F739" t="inlineStr">
        <is>
          <t>2025-04-17 16:19:00</t>
        </is>
      </c>
      <c r="G739" t="inlineStr">
        <is>
          <t>2025-04-17 16:48:00</t>
        </is>
      </c>
      <c r="H739" s="14" t="n">
        <v>9</v>
      </c>
      <c r="I739" s="13" t="n">
        <v>998.28</v>
      </c>
      <c r="J739" s="13" t="n">
        <v>93.26000000000001</v>
      </c>
      <c r="K739" s="16" t="n">
        <v>29</v>
      </c>
      <c r="L739" t="inlineStr">
        <is>
          <t>Returned</t>
        </is>
      </c>
      <c r="M739" t="inlineStr">
        <is>
          <t>PAY03</t>
        </is>
      </c>
      <c r="N739" t="inlineStr">
        <is>
          <t>Afternoon</t>
        </is>
      </c>
      <c r="O739">
        <f>INDEX(Products_Catalog!$B$2:$B$151, MATCH(C739, Products_Catalog!$A$2:$A$151, 0))</f>
        <v/>
      </c>
      <c r="P739" s="13">
        <f>INDEX(Products_Catalog!$D$2:$D$151, MATCH(C739, Products_Catalog!$A$2:$A$151, 0))</f>
        <v/>
      </c>
      <c r="Q739" s="13">
        <f>I739-J739</f>
        <v/>
      </c>
      <c r="R739" s="15">
        <f>IF(K739&gt;20, "BREACH", "OK")</f>
        <v/>
      </c>
    </row>
    <row r="740">
      <c r="A740" t="inlineStr">
        <is>
          <t>ORD01861</t>
        </is>
      </c>
      <c r="B740" t="inlineStr">
        <is>
          <t>CUST0048</t>
        </is>
      </c>
      <c r="C740" t="inlineStr">
        <is>
          <t>PROD005</t>
        </is>
      </c>
      <c r="D740" t="inlineStr">
        <is>
          <t>STORE044</t>
        </is>
      </c>
      <c r="E740" t="inlineStr">
        <is>
          <t>DP039</t>
        </is>
      </c>
      <c r="F740" t="inlineStr">
        <is>
          <t>2025-05-29 14:59:00</t>
        </is>
      </c>
      <c r="G740" t="inlineStr">
        <is>
          <t>2025-05-29 15:11:00</t>
        </is>
      </c>
      <c r="H740" s="14" t="n">
        <v>8</v>
      </c>
      <c r="I740" s="13" t="n">
        <v>2497.44</v>
      </c>
      <c r="J740" s="13" t="n">
        <v>243.11</v>
      </c>
      <c r="K740" s="16" t="n">
        <v>12</v>
      </c>
      <c r="L740" t="inlineStr">
        <is>
          <t>Returned</t>
        </is>
      </c>
      <c r="M740" t="inlineStr">
        <is>
          <t>PAY05</t>
        </is>
      </c>
      <c r="N740" t="inlineStr">
        <is>
          <t>Afternoon</t>
        </is>
      </c>
      <c r="O740">
        <f>INDEX(Products_Catalog!$B$2:$B$151, MATCH(C740, Products_Catalog!$A$2:$A$151, 0))</f>
        <v/>
      </c>
      <c r="P740" s="13">
        <f>INDEX(Products_Catalog!$D$2:$D$151, MATCH(C740, Products_Catalog!$A$2:$A$151, 0))</f>
        <v/>
      </c>
      <c r="Q740" s="13">
        <f>I740-J740</f>
        <v/>
      </c>
      <c r="R740" s="15">
        <f>IF(K740&gt;20, "BREACH", "OK")</f>
        <v/>
      </c>
    </row>
    <row r="741">
      <c r="A741" t="inlineStr">
        <is>
          <t>ORD01862</t>
        </is>
      </c>
      <c r="B741" t="inlineStr">
        <is>
          <t>CUST0017</t>
        </is>
      </c>
      <c r="C741" t="inlineStr">
        <is>
          <t>PROD064</t>
        </is>
      </c>
      <c r="D741" t="inlineStr">
        <is>
          <t>STORE011</t>
        </is>
      </c>
      <c r="E741" t="inlineStr">
        <is>
          <t>DP022</t>
        </is>
      </c>
      <c r="F741" t="inlineStr">
        <is>
          <t>2025-02-04 10:39:00</t>
        </is>
      </c>
      <c r="G741" t="inlineStr">
        <is>
          <t>2025-02-04 10:52:00</t>
        </is>
      </c>
      <c r="H741" s="14" t="n">
        <v>10</v>
      </c>
      <c r="I741" s="13" t="n">
        <v>4243.2</v>
      </c>
      <c r="J741" s="13" t="n">
        <v>942.37</v>
      </c>
      <c r="K741" s="16" t="n">
        <v>13</v>
      </c>
      <c r="L741" t="inlineStr">
        <is>
          <t>Delivered</t>
        </is>
      </c>
      <c r="M741" t="inlineStr">
        <is>
          <t>PAY05</t>
        </is>
      </c>
      <c r="N741" t="inlineStr">
        <is>
          <t>Morning</t>
        </is>
      </c>
      <c r="O741">
        <f>INDEX(Products_Catalog!$B$2:$B$151, MATCH(C741, Products_Catalog!$A$2:$A$151, 0))</f>
        <v/>
      </c>
      <c r="P741" s="13">
        <f>INDEX(Products_Catalog!$D$2:$D$151, MATCH(C741, Products_Catalog!$A$2:$A$151, 0))</f>
        <v/>
      </c>
      <c r="Q741" s="13">
        <f>I741-J741</f>
        <v/>
      </c>
      <c r="R741" s="15">
        <f>IF(K741&gt;20, "BREACH", "OK")</f>
        <v/>
      </c>
    </row>
    <row r="742">
      <c r="A742" t="inlineStr">
        <is>
          <t>ORD01863</t>
        </is>
      </c>
      <c r="B742" t="inlineStr">
        <is>
          <t>CUST0023</t>
        </is>
      </c>
      <c r="C742" t="inlineStr">
        <is>
          <t>PROD057</t>
        </is>
      </c>
      <c r="D742" t="inlineStr">
        <is>
          <t>STORE013</t>
        </is>
      </c>
      <c r="E742" t="inlineStr">
        <is>
          <t>DP019</t>
        </is>
      </c>
      <c r="F742" t="inlineStr">
        <is>
          <t>2025-01-13 13:06:00</t>
        </is>
      </c>
      <c r="G742" t="inlineStr">
        <is>
          <t>2025-01-13 13:20:00</t>
        </is>
      </c>
      <c r="H742" s="14" t="n">
        <v>8</v>
      </c>
      <c r="I742" s="13" t="n">
        <v>2766.08</v>
      </c>
      <c r="J742" s="13" t="n">
        <v>49.07</v>
      </c>
      <c r="K742" s="16" t="n">
        <v>14</v>
      </c>
      <c r="L742" t="inlineStr">
        <is>
          <t>Pending</t>
        </is>
      </c>
      <c r="M742" t="inlineStr">
        <is>
          <t>PAY04</t>
        </is>
      </c>
      <c r="N742" t="inlineStr">
        <is>
          <t>Afternoon</t>
        </is>
      </c>
      <c r="O742">
        <f>INDEX(Products_Catalog!$B$2:$B$151, MATCH(C742, Products_Catalog!$A$2:$A$151, 0))</f>
        <v/>
      </c>
      <c r="P742" s="13">
        <f>INDEX(Products_Catalog!$D$2:$D$151, MATCH(C742, Products_Catalog!$A$2:$A$151, 0))</f>
        <v/>
      </c>
      <c r="Q742" s="13">
        <f>I742-J742</f>
        <v/>
      </c>
      <c r="R742" s="15">
        <f>IF(K742&gt;20, "BREACH", "OK")</f>
        <v/>
      </c>
    </row>
    <row r="743">
      <c r="A743" t="inlineStr">
        <is>
          <t>ORD01864</t>
        </is>
      </c>
      <c r="B743" t="inlineStr">
        <is>
          <t>CUST0032</t>
        </is>
      </c>
      <c r="C743" t="inlineStr">
        <is>
          <t>PROD011</t>
        </is>
      </c>
      <c r="D743" t="inlineStr">
        <is>
          <t>STORE017</t>
        </is>
      </c>
      <c r="E743" t="inlineStr">
        <is>
          <t>DP008</t>
        </is>
      </c>
      <c r="F743" t="inlineStr">
        <is>
          <t>2024-03-31 12:09:00</t>
        </is>
      </c>
      <c r="G743" t="inlineStr">
        <is>
          <t>2024-03-31 12:24:00</t>
        </is>
      </c>
      <c r="H743" s="14" t="n">
        <v>8</v>
      </c>
      <c r="I743" s="13" t="n">
        <v>1367.04</v>
      </c>
      <c r="J743" s="13" t="n">
        <v>291.26</v>
      </c>
      <c r="K743" s="16" t="n">
        <v>15</v>
      </c>
      <c r="L743" t="inlineStr">
        <is>
          <t>Shipped</t>
        </is>
      </c>
      <c r="M743" t="inlineStr">
        <is>
          <t>PAY05</t>
        </is>
      </c>
      <c r="N743" t="inlineStr">
        <is>
          <t>Afternoon</t>
        </is>
      </c>
      <c r="O743">
        <f>INDEX(Products_Catalog!$B$2:$B$151, MATCH(C743, Products_Catalog!$A$2:$A$151, 0))</f>
        <v/>
      </c>
      <c r="P743" s="13">
        <f>INDEX(Products_Catalog!$D$2:$D$151, MATCH(C743, Products_Catalog!$A$2:$A$151, 0))</f>
        <v/>
      </c>
      <c r="Q743" s="13">
        <f>I743-J743</f>
        <v/>
      </c>
      <c r="R743" s="15">
        <f>IF(K743&gt;20, "BREACH", "OK")</f>
        <v/>
      </c>
    </row>
    <row r="744">
      <c r="A744" t="inlineStr">
        <is>
          <t>ORD01865</t>
        </is>
      </c>
      <c r="B744" t="inlineStr">
        <is>
          <t>CUST0029</t>
        </is>
      </c>
      <c r="C744" t="inlineStr">
        <is>
          <t>PROD123</t>
        </is>
      </c>
      <c r="D744" t="inlineStr">
        <is>
          <t>STORE020</t>
        </is>
      </c>
      <c r="E744" t="inlineStr">
        <is>
          <t>DP042</t>
        </is>
      </c>
      <c r="F744" t="inlineStr">
        <is>
          <t>2024-07-15 10:15:00</t>
        </is>
      </c>
      <c r="G744" t="inlineStr">
        <is>
          <t>2024-07-15 10:31:00</t>
        </is>
      </c>
      <c r="H744" s="14" t="n">
        <v>2</v>
      </c>
      <c r="I744" s="13" t="n">
        <v>740</v>
      </c>
      <c r="J744" s="13" t="n">
        <v>158.36</v>
      </c>
      <c r="K744" s="16" t="n">
        <v>16</v>
      </c>
      <c r="L744" t="inlineStr">
        <is>
          <t>Pending</t>
        </is>
      </c>
      <c r="M744" t="inlineStr">
        <is>
          <t>PAY01</t>
        </is>
      </c>
      <c r="N744" t="inlineStr">
        <is>
          <t>Morning</t>
        </is>
      </c>
      <c r="O744">
        <f>INDEX(Products_Catalog!$B$2:$B$151, MATCH(C744, Products_Catalog!$A$2:$A$151, 0))</f>
        <v/>
      </c>
      <c r="P744" s="13">
        <f>INDEX(Products_Catalog!$D$2:$D$151, MATCH(C744, Products_Catalog!$A$2:$A$151, 0))</f>
        <v/>
      </c>
      <c r="Q744" s="13">
        <f>I744-J744</f>
        <v/>
      </c>
      <c r="R744" s="15">
        <f>IF(K744&gt;20, "BREACH", "OK")</f>
        <v/>
      </c>
    </row>
    <row r="745">
      <c r="A745" t="inlineStr">
        <is>
          <t>ORD01866</t>
        </is>
      </c>
      <c r="B745" t="inlineStr">
        <is>
          <t>CUST0018</t>
        </is>
      </c>
      <c r="C745" t="inlineStr">
        <is>
          <t>PROD004</t>
        </is>
      </c>
      <c r="D745" t="inlineStr">
        <is>
          <t>STORE022</t>
        </is>
      </c>
      <c r="E745" t="inlineStr">
        <is>
          <t>DP035</t>
        </is>
      </c>
      <c r="F745" t="inlineStr">
        <is>
          <t>2025-02-14 15:00:00</t>
        </is>
      </c>
      <c r="G745" t="inlineStr">
        <is>
          <t>2025-02-14 15:17:00</t>
        </is>
      </c>
      <c r="H745" s="14" t="n">
        <v>3</v>
      </c>
      <c r="I745" s="13" t="n">
        <v>950.97</v>
      </c>
      <c r="J745" s="13" t="n">
        <v>77.12</v>
      </c>
      <c r="K745" s="16" t="n">
        <v>17</v>
      </c>
      <c r="L745" t="inlineStr">
        <is>
          <t>Cancelled</t>
        </is>
      </c>
      <c r="M745" t="inlineStr">
        <is>
          <t>PAY01</t>
        </is>
      </c>
      <c r="N745" t="inlineStr">
        <is>
          <t>Afternoon</t>
        </is>
      </c>
      <c r="O745">
        <f>INDEX(Products_Catalog!$B$2:$B$151, MATCH(C745, Products_Catalog!$A$2:$A$151, 0))</f>
        <v/>
      </c>
      <c r="P745" s="13">
        <f>INDEX(Products_Catalog!$D$2:$D$151, MATCH(C745, Products_Catalog!$A$2:$A$151, 0))</f>
        <v/>
      </c>
      <c r="Q745" s="13">
        <f>I745-J745</f>
        <v/>
      </c>
      <c r="R745" s="15">
        <f>IF(K745&gt;20, "BREACH", "OK")</f>
        <v/>
      </c>
    </row>
    <row r="746">
      <c r="A746" t="inlineStr">
        <is>
          <t>ORD01869</t>
        </is>
      </c>
      <c r="B746" t="inlineStr">
        <is>
          <t>CUST0038</t>
        </is>
      </c>
      <c r="C746" t="inlineStr">
        <is>
          <t>PROD015</t>
        </is>
      </c>
      <c r="D746" t="inlineStr">
        <is>
          <t>STORE006</t>
        </is>
      </c>
      <c r="E746" t="inlineStr">
        <is>
          <t>DP039</t>
        </is>
      </c>
      <c r="F746" t="inlineStr">
        <is>
          <t>2024-08-18 09:44:00</t>
        </is>
      </c>
      <c r="G746" t="inlineStr">
        <is>
          <t>2024-08-18 10:04:00</t>
        </is>
      </c>
      <c r="H746" s="14" t="n">
        <v>1</v>
      </c>
      <c r="I746" s="13" t="n">
        <v>282.52</v>
      </c>
      <c r="J746" s="13" t="n">
        <v>83.52</v>
      </c>
      <c r="K746" s="16" t="n">
        <v>20</v>
      </c>
      <c r="L746" t="inlineStr">
        <is>
          <t>Shipped</t>
        </is>
      </c>
      <c r="M746" t="inlineStr">
        <is>
          <t>PAY03</t>
        </is>
      </c>
      <c r="N746" t="inlineStr">
        <is>
          <t>Morning</t>
        </is>
      </c>
      <c r="O746">
        <f>INDEX(Products_Catalog!$B$2:$B$151, MATCH(C746, Products_Catalog!$A$2:$A$151, 0))</f>
        <v/>
      </c>
      <c r="P746" s="13">
        <f>INDEX(Products_Catalog!$D$2:$D$151, MATCH(C746, Products_Catalog!$A$2:$A$151, 0))</f>
        <v/>
      </c>
      <c r="Q746" s="13">
        <f>I746-J746</f>
        <v/>
      </c>
      <c r="R746" s="15">
        <f>IF(K746&gt;20, "BREACH", "OK")</f>
        <v/>
      </c>
    </row>
    <row r="747">
      <c r="A747" t="inlineStr">
        <is>
          <t>ORD01870</t>
        </is>
      </c>
      <c r="B747" t="inlineStr">
        <is>
          <t>CUST0010</t>
        </is>
      </c>
      <c r="C747" t="inlineStr">
        <is>
          <t>PROD138</t>
        </is>
      </c>
      <c r="D747" t="inlineStr">
        <is>
          <t>STORE019</t>
        </is>
      </c>
      <c r="E747" t="inlineStr">
        <is>
          <t>DP049</t>
        </is>
      </c>
      <c r="F747" t="inlineStr">
        <is>
          <t>2025-06-13 09:12:00</t>
        </is>
      </c>
      <c r="G747" t="inlineStr">
        <is>
          <t>2025-06-13 09:33:00</t>
        </is>
      </c>
      <c r="H747" s="14" t="n">
        <v>9</v>
      </c>
      <c r="I747" s="13" t="n">
        <v>1157.13</v>
      </c>
      <c r="J747" s="13" t="n">
        <v>18.53</v>
      </c>
      <c r="K747" s="16" t="n">
        <v>21</v>
      </c>
      <c r="L747" t="inlineStr">
        <is>
          <t>Shipped</t>
        </is>
      </c>
      <c r="M747" t="inlineStr">
        <is>
          <t>PAY05</t>
        </is>
      </c>
      <c r="N747" t="inlineStr">
        <is>
          <t>Morning</t>
        </is>
      </c>
      <c r="O747">
        <f>INDEX(Products_Catalog!$B$2:$B$151, MATCH(C747, Products_Catalog!$A$2:$A$151, 0))</f>
        <v/>
      </c>
      <c r="P747" s="13">
        <f>INDEX(Products_Catalog!$D$2:$D$151, MATCH(C747, Products_Catalog!$A$2:$A$151, 0))</f>
        <v/>
      </c>
      <c r="Q747" s="13">
        <f>I747-J747</f>
        <v/>
      </c>
      <c r="R747" s="15">
        <f>IF(K747&gt;20, "BREACH", "OK")</f>
        <v/>
      </c>
    </row>
    <row r="748">
      <c r="A748" t="inlineStr">
        <is>
          <t>ORD01871</t>
        </is>
      </c>
      <c r="B748" t="inlineStr">
        <is>
          <t>CUST0026</t>
        </is>
      </c>
      <c r="C748" t="inlineStr">
        <is>
          <t>PROD129</t>
        </is>
      </c>
      <c r="D748" t="inlineStr">
        <is>
          <t>STORE043</t>
        </is>
      </c>
      <c r="E748" t="inlineStr">
        <is>
          <t>DP027</t>
        </is>
      </c>
      <c r="F748" t="inlineStr">
        <is>
          <t>2025-06-18 19:34:00</t>
        </is>
      </c>
      <c r="G748" t="inlineStr">
        <is>
          <t>2025-06-18 19:56:00</t>
        </is>
      </c>
      <c r="H748" s="14" t="n">
        <v>8</v>
      </c>
      <c r="I748" s="13" t="n">
        <v>1986.4</v>
      </c>
      <c r="J748" s="13" t="n">
        <v>46.64</v>
      </c>
      <c r="K748" s="16" t="n">
        <v>22</v>
      </c>
      <c r="L748" t="inlineStr">
        <is>
          <t>Delivered</t>
        </is>
      </c>
      <c r="M748" t="inlineStr">
        <is>
          <t>PAY01</t>
        </is>
      </c>
      <c r="N748" t="inlineStr">
        <is>
          <t>Evening</t>
        </is>
      </c>
      <c r="O748">
        <f>INDEX(Products_Catalog!$B$2:$B$151, MATCH(C748, Products_Catalog!$A$2:$A$151, 0))</f>
        <v/>
      </c>
      <c r="P748" s="13">
        <f>INDEX(Products_Catalog!$D$2:$D$151, MATCH(C748, Products_Catalog!$A$2:$A$151, 0))</f>
        <v/>
      </c>
      <c r="Q748" s="13">
        <f>I748-J748</f>
        <v/>
      </c>
      <c r="R748" s="15">
        <f>IF(K748&gt;20, "BREACH", "OK")</f>
        <v/>
      </c>
    </row>
    <row r="749">
      <c r="A749" t="inlineStr">
        <is>
          <t>ORD01872</t>
        </is>
      </c>
      <c r="B749" t="inlineStr">
        <is>
          <t>CUST0001</t>
        </is>
      </c>
      <c r="C749" t="inlineStr">
        <is>
          <t>PROD094</t>
        </is>
      </c>
      <c r="D749" t="inlineStr">
        <is>
          <t>STORE015</t>
        </is>
      </c>
      <c r="E749" t="inlineStr">
        <is>
          <t>DP041</t>
        </is>
      </c>
      <c r="F749" t="inlineStr">
        <is>
          <t>2024-02-10 12:53:00</t>
        </is>
      </c>
      <c r="G749" t="inlineStr">
        <is>
          <t>2024-02-10 13:16:00</t>
        </is>
      </c>
      <c r="H749" s="14" t="n">
        <v>1</v>
      </c>
      <c r="I749" s="13" t="n">
        <v>251.41</v>
      </c>
      <c r="J749" s="13" t="n">
        <v>75.12</v>
      </c>
      <c r="K749" s="16" t="n">
        <v>23</v>
      </c>
      <c r="L749" t="inlineStr">
        <is>
          <t>Cancelled</t>
        </is>
      </c>
      <c r="M749" t="inlineStr">
        <is>
          <t>PAY03</t>
        </is>
      </c>
      <c r="N749" t="inlineStr">
        <is>
          <t>Afternoon</t>
        </is>
      </c>
      <c r="O749">
        <f>INDEX(Products_Catalog!$B$2:$B$151, MATCH(C749, Products_Catalog!$A$2:$A$151, 0))</f>
        <v/>
      </c>
      <c r="P749" s="13">
        <f>INDEX(Products_Catalog!$D$2:$D$151, MATCH(C749, Products_Catalog!$A$2:$A$151, 0))</f>
        <v/>
      </c>
      <c r="Q749" s="13">
        <f>I749-J749</f>
        <v/>
      </c>
      <c r="R749" s="15">
        <f>IF(K749&gt;20, "BREACH", "OK")</f>
        <v/>
      </c>
    </row>
    <row r="750">
      <c r="A750" t="inlineStr">
        <is>
          <t>ORD01873</t>
        </is>
      </c>
      <c r="B750" t="inlineStr">
        <is>
          <t>CUST0037</t>
        </is>
      </c>
      <c r="C750" t="inlineStr">
        <is>
          <t>PROD108</t>
        </is>
      </c>
      <c r="D750" t="inlineStr">
        <is>
          <t>STORE031</t>
        </is>
      </c>
      <c r="E750" t="inlineStr">
        <is>
          <t>DP036</t>
        </is>
      </c>
      <c r="F750" t="inlineStr">
        <is>
          <t>2025-01-15 19:09:00</t>
        </is>
      </c>
      <c r="G750" t="inlineStr">
        <is>
          <t>2025-01-15 19:33:00</t>
        </is>
      </c>
      <c r="H750" s="14" t="n">
        <v>4</v>
      </c>
      <c r="I750" s="13" t="n">
        <v>442.2</v>
      </c>
      <c r="J750" s="13" t="n">
        <v>66.09999999999999</v>
      </c>
      <c r="K750" s="16" t="n">
        <v>24</v>
      </c>
      <c r="L750" t="inlineStr">
        <is>
          <t>Shipped</t>
        </is>
      </c>
      <c r="M750" t="inlineStr">
        <is>
          <t>PAY02</t>
        </is>
      </c>
      <c r="N750" t="inlineStr">
        <is>
          <t>Evening</t>
        </is>
      </c>
      <c r="O750">
        <f>INDEX(Products_Catalog!$B$2:$B$151, MATCH(C750, Products_Catalog!$A$2:$A$151, 0))</f>
        <v/>
      </c>
      <c r="P750" s="13">
        <f>INDEX(Products_Catalog!$D$2:$D$151, MATCH(C750, Products_Catalog!$A$2:$A$151, 0))</f>
        <v/>
      </c>
      <c r="Q750" s="13">
        <f>I750-J750</f>
        <v/>
      </c>
      <c r="R750" s="15">
        <f>IF(K750&gt;20, "BREACH", "OK")</f>
        <v/>
      </c>
    </row>
    <row r="751">
      <c r="A751" t="inlineStr">
        <is>
          <t>ORD01874</t>
        </is>
      </c>
      <c r="B751" t="inlineStr">
        <is>
          <t>CUST0003</t>
        </is>
      </c>
      <c r="C751" t="inlineStr">
        <is>
          <t>PROD066</t>
        </is>
      </c>
      <c r="D751" t="inlineStr">
        <is>
          <t>STORE035</t>
        </is>
      </c>
      <c r="E751" t="inlineStr">
        <is>
          <t>DP040</t>
        </is>
      </c>
      <c r="F751" t="inlineStr">
        <is>
          <t>2024-04-07 12:08:00</t>
        </is>
      </c>
      <c r="G751" t="inlineStr">
        <is>
          <t>2024-04-07 12:33:00</t>
        </is>
      </c>
      <c r="H751" s="14" t="n">
        <v>4</v>
      </c>
      <c r="I751" s="13" t="n">
        <v>561.8</v>
      </c>
      <c r="J751" s="13" t="n">
        <v>48.6</v>
      </c>
      <c r="K751" s="16" t="n">
        <v>25</v>
      </c>
      <c r="L751" t="inlineStr">
        <is>
          <t>Returned</t>
        </is>
      </c>
      <c r="M751" t="inlineStr">
        <is>
          <t>PAY01</t>
        </is>
      </c>
      <c r="N751" t="inlineStr">
        <is>
          <t>Afternoon</t>
        </is>
      </c>
      <c r="O751">
        <f>INDEX(Products_Catalog!$B$2:$B$151, MATCH(C751, Products_Catalog!$A$2:$A$151, 0))</f>
        <v/>
      </c>
      <c r="P751" s="13">
        <f>INDEX(Products_Catalog!$D$2:$D$151, MATCH(C751, Products_Catalog!$A$2:$A$151, 0))</f>
        <v/>
      </c>
      <c r="Q751" s="13">
        <f>I751-J751</f>
        <v/>
      </c>
      <c r="R751" s="15">
        <f>IF(K751&gt;20, "BREACH", "OK")</f>
        <v/>
      </c>
    </row>
    <row r="752">
      <c r="A752" t="inlineStr">
        <is>
          <t>ORD01876</t>
        </is>
      </c>
      <c r="B752" t="inlineStr">
        <is>
          <t>CUST0012</t>
        </is>
      </c>
      <c r="C752" t="inlineStr">
        <is>
          <t>PROD003</t>
        </is>
      </c>
      <c r="D752" t="inlineStr">
        <is>
          <t>STORE003</t>
        </is>
      </c>
      <c r="E752" t="inlineStr">
        <is>
          <t>DP049</t>
        </is>
      </c>
      <c r="F752" t="inlineStr">
        <is>
          <t>2024-05-10 17:59:00</t>
        </is>
      </c>
      <c r="G752" t="inlineStr">
        <is>
          <t>2024-05-10 18:26:00</t>
        </is>
      </c>
      <c r="H752" s="14" t="n">
        <v>2</v>
      </c>
      <c r="I752" s="13" t="n">
        <v>616.5599999999999</v>
      </c>
      <c r="J752" s="13" t="n">
        <v>92</v>
      </c>
      <c r="K752" s="16" t="n">
        <v>27</v>
      </c>
      <c r="L752" t="inlineStr">
        <is>
          <t>Cancelled</t>
        </is>
      </c>
      <c r="M752" t="inlineStr">
        <is>
          <t>PAY02</t>
        </is>
      </c>
      <c r="N752" t="inlineStr">
        <is>
          <t>Evening</t>
        </is>
      </c>
      <c r="O752">
        <f>INDEX(Products_Catalog!$B$2:$B$151, MATCH(C752, Products_Catalog!$A$2:$A$151, 0))</f>
        <v/>
      </c>
      <c r="P752" s="13">
        <f>INDEX(Products_Catalog!$D$2:$D$151, MATCH(C752, Products_Catalog!$A$2:$A$151, 0))</f>
        <v/>
      </c>
      <c r="Q752" s="13">
        <f>I752-J752</f>
        <v/>
      </c>
      <c r="R752" s="15">
        <f>IF(K752&gt;20, "BREACH", "OK")</f>
        <v/>
      </c>
    </row>
    <row r="753">
      <c r="A753" t="inlineStr">
        <is>
          <t>ORD01877</t>
        </is>
      </c>
      <c r="B753" t="inlineStr">
        <is>
          <t>CUST0048</t>
        </is>
      </c>
      <c r="C753" t="inlineStr">
        <is>
          <t>PROD059</t>
        </is>
      </c>
      <c r="D753" t="inlineStr">
        <is>
          <t>STORE008</t>
        </is>
      </c>
      <c r="E753" t="inlineStr">
        <is>
          <t>DP002</t>
        </is>
      </c>
      <c r="F753" t="inlineStr">
        <is>
          <t>2024-09-25 19:49:00</t>
        </is>
      </c>
      <c r="G753" t="inlineStr">
        <is>
          <t>2024-09-25 20:17:00</t>
        </is>
      </c>
      <c r="H753" s="14" t="n">
        <v>5</v>
      </c>
      <c r="I753" s="13" t="n">
        <v>2239.85</v>
      </c>
      <c r="J753" s="13" t="n">
        <v>508.65</v>
      </c>
      <c r="K753" s="16" t="n">
        <v>28</v>
      </c>
      <c r="L753" t="inlineStr">
        <is>
          <t>Returned</t>
        </is>
      </c>
      <c r="M753" t="inlineStr">
        <is>
          <t>PAY04</t>
        </is>
      </c>
      <c r="N753" t="inlineStr">
        <is>
          <t>Evening</t>
        </is>
      </c>
      <c r="O753">
        <f>INDEX(Products_Catalog!$B$2:$B$151, MATCH(C753, Products_Catalog!$A$2:$A$151, 0))</f>
        <v/>
      </c>
      <c r="P753" s="13">
        <f>INDEX(Products_Catalog!$D$2:$D$151, MATCH(C753, Products_Catalog!$A$2:$A$151, 0))</f>
        <v/>
      </c>
      <c r="Q753" s="13">
        <f>I753-J753</f>
        <v/>
      </c>
      <c r="R753" s="15">
        <f>IF(K753&gt;20, "BREACH", "OK")</f>
        <v/>
      </c>
    </row>
    <row r="754">
      <c r="A754" t="inlineStr">
        <is>
          <t>ORD01878</t>
        </is>
      </c>
      <c r="B754" t="inlineStr">
        <is>
          <t>CUST0010</t>
        </is>
      </c>
      <c r="C754" t="inlineStr">
        <is>
          <t>PROD111</t>
        </is>
      </c>
      <c r="D754" t="inlineStr">
        <is>
          <t>STORE007</t>
        </is>
      </c>
      <c r="E754" t="inlineStr">
        <is>
          <t>DP033</t>
        </is>
      </c>
      <c r="F754" t="inlineStr">
        <is>
          <t>2024-03-30 14:07:00</t>
        </is>
      </c>
      <c r="G754" t="inlineStr">
        <is>
          <t>2024-03-30 14:36:00</t>
        </is>
      </c>
      <c r="H754" s="14" t="n">
        <v>6</v>
      </c>
      <c r="I754" s="13" t="n">
        <v>754.62</v>
      </c>
      <c r="J754" s="13" t="n">
        <v>143.85</v>
      </c>
      <c r="K754" s="16" t="n">
        <v>29</v>
      </c>
      <c r="L754" t="inlineStr">
        <is>
          <t>Pending</t>
        </is>
      </c>
      <c r="M754" t="inlineStr">
        <is>
          <t>PAY05</t>
        </is>
      </c>
      <c r="N754" t="inlineStr">
        <is>
          <t>Afternoon</t>
        </is>
      </c>
      <c r="O754">
        <f>INDEX(Products_Catalog!$B$2:$B$151, MATCH(C754, Products_Catalog!$A$2:$A$151, 0))</f>
        <v/>
      </c>
      <c r="P754" s="13">
        <f>INDEX(Products_Catalog!$D$2:$D$151, MATCH(C754, Products_Catalog!$A$2:$A$151, 0))</f>
        <v/>
      </c>
      <c r="Q754" s="13">
        <f>I754-J754</f>
        <v/>
      </c>
      <c r="R754" s="15">
        <f>IF(K754&gt;20, "BREACH", "OK")</f>
        <v/>
      </c>
    </row>
    <row r="755">
      <c r="A755" t="inlineStr">
        <is>
          <t>ORD01879</t>
        </is>
      </c>
      <c r="B755" t="inlineStr">
        <is>
          <t>CUST0006</t>
        </is>
      </c>
      <c r="C755" t="inlineStr">
        <is>
          <t>PROD103</t>
        </is>
      </c>
      <c r="D755" t="inlineStr">
        <is>
          <t>STORE027</t>
        </is>
      </c>
      <c r="E755" t="inlineStr">
        <is>
          <t>DP013</t>
        </is>
      </c>
      <c r="F755" t="inlineStr">
        <is>
          <t>2024-07-02 16:59:00</t>
        </is>
      </c>
      <c r="G755" t="inlineStr">
        <is>
          <t>2024-07-02 17:29:00</t>
        </is>
      </c>
      <c r="H755" s="14" t="n">
        <v>6</v>
      </c>
      <c r="I755" s="13" t="n">
        <v>314.22</v>
      </c>
      <c r="J755" s="13" t="n">
        <v>5.14</v>
      </c>
      <c r="K755" s="16" t="n">
        <v>30</v>
      </c>
      <c r="L755" t="inlineStr">
        <is>
          <t>Returned</t>
        </is>
      </c>
      <c r="M755" t="inlineStr">
        <is>
          <t>PAY01</t>
        </is>
      </c>
      <c r="N755" t="inlineStr">
        <is>
          <t>Afternoon</t>
        </is>
      </c>
      <c r="O755">
        <f>INDEX(Products_Catalog!$B$2:$B$151, MATCH(C755, Products_Catalog!$A$2:$A$151, 0))</f>
        <v/>
      </c>
      <c r="P755" s="13">
        <f>INDEX(Products_Catalog!$D$2:$D$151, MATCH(C755, Products_Catalog!$A$2:$A$151, 0))</f>
        <v/>
      </c>
      <c r="Q755" s="13">
        <f>I755-J755</f>
        <v/>
      </c>
      <c r="R755" s="15">
        <f>IF(K755&gt;20, "BREACH", "OK")</f>
        <v/>
      </c>
    </row>
    <row r="756">
      <c r="A756" t="inlineStr">
        <is>
          <t>ORD01881</t>
        </is>
      </c>
      <c r="B756" t="inlineStr">
        <is>
          <t>CUST0018</t>
        </is>
      </c>
      <c r="C756" t="inlineStr">
        <is>
          <t>PROD037</t>
        </is>
      </c>
      <c r="D756" t="inlineStr">
        <is>
          <t>STORE044</t>
        </is>
      </c>
      <c r="E756" t="inlineStr">
        <is>
          <t>DP046</t>
        </is>
      </c>
      <c r="F756" t="inlineStr">
        <is>
          <t>2025-01-23 09:37:00</t>
        </is>
      </c>
      <c r="G756" t="inlineStr">
        <is>
          <t>2025-01-23 09:48:00</t>
        </is>
      </c>
      <c r="H756" s="14" t="n">
        <v>7</v>
      </c>
      <c r="I756" s="13" t="n">
        <v>2827.02</v>
      </c>
      <c r="J756" s="13" t="n">
        <v>742.01</v>
      </c>
      <c r="K756" s="16" t="n">
        <v>11</v>
      </c>
      <c r="L756" t="inlineStr">
        <is>
          <t>Pending</t>
        </is>
      </c>
      <c r="M756" t="inlineStr">
        <is>
          <t>PAY03</t>
        </is>
      </c>
      <c r="N756" t="inlineStr">
        <is>
          <t>Morning</t>
        </is>
      </c>
      <c r="O756">
        <f>INDEX(Products_Catalog!$B$2:$B$151, MATCH(C756, Products_Catalog!$A$2:$A$151, 0))</f>
        <v/>
      </c>
      <c r="P756" s="13">
        <f>INDEX(Products_Catalog!$D$2:$D$151, MATCH(C756, Products_Catalog!$A$2:$A$151, 0))</f>
        <v/>
      </c>
      <c r="Q756" s="13">
        <f>I756-J756</f>
        <v/>
      </c>
      <c r="R756" s="15">
        <f>IF(K756&gt;20, "BREACH", "OK")</f>
        <v/>
      </c>
    </row>
    <row r="757">
      <c r="A757" t="inlineStr">
        <is>
          <t>ORD01882</t>
        </is>
      </c>
      <c r="B757" t="inlineStr">
        <is>
          <t>CUST0001</t>
        </is>
      </c>
      <c r="C757" t="inlineStr">
        <is>
          <t>PROD115</t>
        </is>
      </c>
      <c r="D757" t="inlineStr">
        <is>
          <t>STORE011</t>
        </is>
      </c>
      <c r="E757" t="inlineStr">
        <is>
          <t>DP018</t>
        </is>
      </c>
      <c r="F757" t="inlineStr">
        <is>
          <t>2025-01-25 10:45:00</t>
        </is>
      </c>
      <c r="G757" t="inlineStr">
        <is>
          <t>2025-01-25 10:57:00</t>
        </is>
      </c>
      <c r="H757" s="14" t="n">
        <v>7</v>
      </c>
      <c r="I757" s="13" t="n">
        <v>3236.94</v>
      </c>
      <c r="J757" s="13" t="n">
        <v>418.69</v>
      </c>
      <c r="K757" s="16" t="n">
        <v>12</v>
      </c>
      <c r="L757" t="inlineStr">
        <is>
          <t>Delivered</t>
        </is>
      </c>
      <c r="M757" t="inlineStr">
        <is>
          <t>PAY04</t>
        </is>
      </c>
      <c r="N757" t="inlineStr">
        <is>
          <t>Morning</t>
        </is>
      </c>
      <c r="O757">
        <f>INDEX(Products_Catalog!$B$2:$B$151, MATCH(C757, Products_Catalog!$A$2:$A$151, 0))</f>
        <v/>
      </c>
      <c r="P757" s="13">
        <f>INDEX(Products_Catalog!$D$2:$D$151, MATCH(C757, Products_Catalog!$A$2:$A$151, 0))</f>
        <v/>
      </c>
      <c r="Q757" s="13">
        <f>I757-J757</f>
        <v/>
      </c>
      <c r="R757" s="15">
        <f>IF(K757&gt;20, "BREACH", "OK")</f>
        <v/>
      </c>
    </row>
    <row r="758">
      <c r="A758" t="inlineStr">
        <is>
          <t>ORD01883</t>
        </is>
      </c>
      <c r="B758" t="inlineStr">
        <is>
          <t>CUST0029</t>
        </is>
      </c>
      <c r="C758" t="inlineStr">
        <is>
          <t>PROD124</t>
        </is>
      </c>
      <c r="D758" t="inlineStr">
        <is>
          <t>STORE012</t>
        </is>
      </c>
      <c r="E758" t="inlineStr">
        <is>
          <t>DP032</t>
        </is>
      </c>
      <c r="F758" t="inlineStr">
        <is>
          <t>2024-10-26 11:39:00</t>
        </is>
      </c>
      <c r="G758" t="inlineStr">
        <is>
          <t>2024-10-26 11:52:00</t>
        </is>
      </c>
      <c r="H758" s="14" t="n">
        <v>2</v>
      </c>
      <c r="I758" s="13" t="n">
        <v>122.36</v>
      </c>
      <c r="J758" s="13" t="n">
        <v>22.22</v>
      </c>
      <c r="K758" s="16" t="n">
        <v>13</v>
      </c>
      <c r="L758" t="inlineStr">
        <is>
          <t>Pending</t>
        </is>
      </c>
      <c r="M758" t="inlineStr">
        <is>
          <t>PAY04</t>
        </is>
      </c>
      <c r="N758" t="inlineStr">
        <is>
          <t>Morning</t>
        </is>
      </c>
      <c r="O758">
        <f>INDEX(Products_Catalog!$B$2:$B$151, MATCH(C758, Products_Catalog!$A$2:$A$151, 0))</f>
        <v/>
      </c>
      <c r="P758" s="13">
        <f>INDEX(Products_Catalog!$D$2:$D$151, MATCH(C758, Products_Catalog!$A$2:$A$151, 0))</f>
        <v/>
      </c>
      <c r="Q758" s="13">
        <f>I758-J758</f>
        <v/>
      </c>
      <c r="R758" s="15">
        <f>IF(K758&gt;20, "BREACH", "OK")</f>
        <v/>
      </c>
    </row>
    <row r="759">
      <c r="A759" t="inlineStr">
        <is>
          <t>ORD01885</t>
        </is>
      </c>
      <c r="B759" t="inlineStr">
        <is>
          <t>CUST0027</t>
        </is>
      </c>
      <c r="C759" t="inlineStr">
        <is>
          <t>PROD102</t>
        </is>
      </c>
      <c r="D759" t="inlineStr">
        <is>
          <t>STORE019</t>
        </is>
      </c>
      <c r="E759" t="inlineStr">
        <is>
          <t>DP009</t>
        </is>
      </c>
      <c r="F759" t="inlineStr">
        <is>
          <t>2025-04-03 17:39:00</t>
        </is>
      </c>
      <c r="G759" t="inlineStr">
        <is>
          <t>2025-04-03 17:54:00</t>
        </is>
      </c>
      <c r="H759" s="14" t="n">
        <v>2</v>
      </c>
      <c r="I759" s="13" t="n">
        <v>668.74</v>
      </c>
      <c r="J759" s="13" t="n">
        <v>124.76</v>
      </c>
      <c r="K759" s="16" t="n">
        <v>15</v>
      </c>
      <c r="L759" t="inlineStr">
        <is>
          <t>Delivered</t>
        </is>
      </c>
      <c r="M759" t="inlineStr">
        <is>
          <t>PAY05</t>
        </is>
      </c>
      <c r="N759" t="inlineStr">
        <is>
          <t>Evening</t>
        </is>
      </c>
      <c r="O759">
        <f>INDEX(Products_Catalog!$B$2:$B$151, MATCH(C759, Products_Catalog!$A$2:$A$151, 0))</f>
        <v/>
      </c>
      <c r="P759" s="13">
        <f>INDEX(Products_Catalog!$D$2:$D$151, MATCH(C759, Products_Catalog!$A$2:$A$151, 0))</f>
        <v/>
      </c>
      <c r="Q759" s="13">
        <f>I759-J759</f>
        <v/>
      </c>
      <c r="R759" s="15">
        <f>IF(K759&gt;20, "BREACH", "OK")</f>
        <v/>
      </c>
    </row>
    <row r="760">
      <c r="A760" t="inlineStr">
        <is>
          <t>ORD01887</t>
        </is>
      </c>
      <c r="B760" t="inlineStr">
        <is>
          <t>CUST0042</t>
        </is>
      </c>
      <c r="C760" t="inlineStr">
        <is>
          <t>PROD080</t>
        </is>
      </c>
      <c r="D760" t="inlineStr">
        <is>
          <t>STORE001</t>
        </is>
      </c>
      <c r="E760" t="inlineStr">
        <is>
          <t>DP018</t>
        </is>
      </c>
      <c r="F760" t="inlineStr">
        <is>
          <t>2024-12-05 19:29:00</t>
        </is>
      </c>
      <c r="G760" t="inlineStr">
        <is>
          <t>2024-12-05 19:46:00</t>
        </is>
      </c>
      <c r="H760" s="14" t="n">
        <v>10</v>
      </c>
      <c r="I760" s="13" t="n">
        <v>3463.7</v>
      </c>
      <c r="J760" s="13" t="n">
        <v>569.49</v>
      </c>
      <c r="K760" s="16" t="n">
        <v>17</v>
      </c>
      <c r="L760" t="inlineStr">
        <is>
          <t>Cancelled</t>
        </is>
      </c>
      <c r="M760" t="inlineStr">
        <is>
          <t>PAY05</t>
        </is>
      </c>
      <c r="N760" t="inlineStr">
        <is>
          <t>Evening</t>
        </is>
      </c>
      <c r="O760">
        <f>INDEX(Products_Catalog!$B$2:$B$151, MATCH(C760, Products_Catalog!$A$2:$A$151, 0))</f>
        <v/>
      </c>
      <c r="P760" s="13">
        <f>INDEX(Products_Catalog!$D$2:$D$151, MATCH(C760, Products_Catalog!$A$2:$A$151, 0))</f>
        <v/>
      </c>
      <c r="Q760" s="13">
        <f>I760-J760</f>
        <v/>
      </c>
      <c r="R760" s="15">
        <f>IF(K760&gt;20, "BREACH", "OK")</f>
        <v/>
      </c>
    </row>
    <row r="761">
      <c r="A761" t="inlineStr">
        <is>
          <t>ORD01888</t>
        </is>
      </c>
      <c r="B761" t="inlineStr">
        <is>
          <t>CUST0007</t>
        </is>
      </c>
      <c r="C761" t="inlineStr">
        <is>
          <t>PROD102</t>
        </is>
      </c>
      <c r="D761" t="inlineStr">
        <is>
          <t>STORE018</t>
        </is>
      </c>
      <c r="E761" t="inlineStr">
        <is>
          <t>DP045</t>
        </is>
      </c>
      <c r="F761" t="inlineStr">
        <is>
          <t>2025-01-24 18:56:00</t>
        </is>
      </c>
      <c r="G761" t="inlineStr">
        <is>
          <t>2025-01-24 19:14:00</t>
        </is>
      </c>
      <c r="H761" s="14" t="n">
        <v>9</v>
      </c>
      <c r="I761" s="13" t="n">
        <v>4426.29</v>
      </c>
      <c r="J761" s="13" t="n">
        <v>363.63</v>
      </c>
      <c r="K761" s="16" t="n">
        <v>18</v>
      </c>
      <c r="L761" t="inlineStr">
        <is>
          <t>Shipped</t>
        </is>
      </c>
      <c r="M761" t="inlineStr">
        <is>
          <t>PAY04</t>
        </is>
      </c>
      <c r="N761" t="inlineStr">
        <is>
          <t>Evening</t>
        </is>
      </c>
      <c r="O761">
        <f>INDEX(Products_Catalog!$B$2:$B$151, MATCH(C761, Products_Catalog!$A$2:$A$151, 0))</f>
        <v/>
      </c>
      <c r="P761" s="13">
        <f>INDEX(Products_Catalog!$D$2:$D$151, MATCH(C761, Products_Catalog!$A$2:$A$151, 0))</f>
        <v/>
      </c>
      <c r="Q761" s="13">
        <f>I761-J761</f>
        <v/>
      </c>
      <c r="R761" s="15">
        <f>IF(K761&gt;20, "BREACH", "OK")</f>
        <v/>
      </c>
    </row>
    <row r="762">
      <c r="A762" t="inlineStr">
        <is>
          <t>ORD01889</t>
        </is>
      </c>
      <c r="B762" t="inlineStr">
        <is>
          <t>CUST0018</t>
        </is>
      </c>
      <c r="C762" t="inlineStr">
        <is>
          <t>PROD056</t>
        </is>
      </c>
      <c r="D762" t="inlineStr">
        <is>
          <t>STORE033</t>
        </is>
      </c>
      <c r="E762" t="inlineStr">
        <is>
          <t>DP048</t>
        </is>
      </c>
      <c r="F762" t="inlineStr">
        <is>
          <t>2024-07-12 16:20:00</t>
        </is>
      </c>
      <c r="G762" t="inlineStr">
        <is>
          <t>2024-07-12 16:39:00</t>
        </is>
      </c>
      <c r="H762" s="14" t="n">
        <v>5</v>
      </c>
      <c r="I762" s="13" t="n">
        <v>761.7</v>
      </c>
      <c r="J762" s="13" t="n">
        <v>194.53</v>
      </c>
      <c r="K762" s="16" t="n">
        <v>19</v>
      </c>
      <c r="L762" t="inlineStr">
        <is>
          <t>Returned</t>
        </is>
      </c>
      <c r="M762" t="inlineStr">
        <is>
          <t>PAY04</t>
        </is>
      </c>
      <c r="N762" t="inlineStr">
        <is>
          <t>Afternoon</t>
        </is>
      </c>
      <c r="O762">
        <f>INDEX(Products_Catalog!$B$2:$B$151, MATCH(C762, Products_Catalog!$A$2:$A$151, 0))</f>
        <v/>
      </c>
      <c r="P762" s="13">
        <f>INDEX(Products_Catalog!$D$2:$D$151, MATCH(C762, Products_Catalog!$A$2:$A$151, 0))</f>
        <v/>
      </c>
      <c r="Q762" s="13">
        <f>I762-J762</f>
        <v/>
      </c>
      <c r="R762" s="15">
        <f>IF(K762&gt;20, "BREACH", "OK")</f>
        <v/>
      </c>
    </row>
    <row r="763">
      <c r="A763" t="inlineStr">
        <is>
          <t>ORD01891</t>
        </is>
      </c>
      <c r="B763" t="inlineStr">
        <is>
          <t>CUST0026</t>
        </is>
      </c>
      <c r="C763" t="inlineStr">
        <is>
          <t>PROD081</t>
        </is>
      </c>
      <c r="D763" t="inlineStr">
        <is>
          <t>STORE021</t>
        </is>
      </c>
      <c r="E763" t="inlineStr">
        <is>
          <t>DP042</t>
        </is>
      </c>
      <c r="F763" t="inlineStr">
        <is>
          <t>2025-05-31 18:41:00</t>
        </is>
      </c>
      <c r="G763" t="inlineStr">
        <is>
          <t>2025-05-31 19:02:00</t>
        </is>
      </c>
      <c r="H763" s="14" t="n">
        <v>4</v>
      </c>
      <c r="I763" s="13" t="n">
        <v>521</v>
      </c>
      <c r="J763" s="13" t="n">
        <v>153.4</v>
      </c>
      <c r="K763" s="16" t="n">
        <v>21</v>
      </c>
      <c r="L763" t="inlineStr">
        <is>
          <t>Shipped</t>
        </is>
      </c>
      <c r="M763" t="inlineStr">
        <is>
          <t>PAY01</t>
        </is>
      </c>
      <c r="N763" t="inlineStr">
        <is>
          <t>Evening</t>
        </is>
      </c>
      <c r="O763">
        <f>INDEX(Products_Catalog!$B$2:$B$151, MATCH(C763, Products_Catalog!$A$2:$A$151, 0))</f>
        <v/>
      </c>
      <c r="P763" s="13">
        <f>INDEX(Products_Catalog!$D$2:$D$151, MATCH(C763, Products_Catalog!$A$2:$A$151, 0))</f>
        <v/>
      </c>
      <c r="Q763" s="13">
        <f>I763-J763</f>
        <v/>
      </c>
      <c r="R763" s="15">
        <f>IF(K763&gt;20, "BREACH", "OK")</f>
        <v/>
      </c>
    </row>
    <row r="764">
      <c r="A764" t="inlineStr">
        <is>
          <t>ORD01895</t>
        </is>
      </c>
      <c r="B764" t="inlineStr">
        <is>
          <t>CUST0047</t>
        </is>
      </c>
      <c r="C764" t="inlineStr">
        <is>
          <t>PROD118</t>
        </is>
      </c>
      <c r="D764" t="inlineStr">
        <is>
          <t>STORE033</t>
        </is>
      </c>
      <c r="E764" t="inlineStr">
        <is>
          <t>DP038</t>
        </is>
      </c>
      <c r="F764" t="inlineStr">
        <is>
          <t>2024-05-26 10:26:00</t>
        </is>
      </c>
      <c r="G764" t="inlineStr">
        <is>
          <t>2024-05-26 10:51:00</t>
        </is>
      </c>
      <c r="H764" s="14" t="n">
        <v>8</v>
      </c>
      <c r="I764" s="13" t="n">
        <v>1321.92</v>
      </c>
      <c r="J764" s="13" t="n">
        <v>17.26</v>
      </c>
      <c r="K764" s="16" t="n">
        <v>25</v>
      </c>
      <c r="L764" t="inlineStr">
        <is>
          <t>Shipped</t>
        </is>
      </c>
      <c r="M764" t="inlineStr">
        <is>
          <t>PAY05</t>
        </is>
      </c>
      <c r="N764" t="inlineStr">
        <is>
          <t>Morning</t>
        </is>
      </c>
      <c r="O764">
        <f>INDEX(Products_Catalog!$B$2:$B$151, MATCH(C764, Products_Catalog!$A$2:$A$151, 0))</f>
        <v/>
      </c>
      <c r="P764" s="13">
        <f>INDEX(Products_Catalog!$D$2:$D$151, MATCH(C764, Products_Catalog!$A$2:$A$151, 0))</f>
        <v/>
      </c>
      <c r="Q764" s="13">
        <f>I764-J764</f>
        <v/>
      </c>
      <c r="R764" s="15">
        <f>IF(K764&gt;20, "BREACH", "OK")</f>
        <v/>
      </c>
    </row>
    <row r="765">
      <c r="A765" t="inlineStr">
        <is>
          <t>ORD01896</t>
        </is>
      </c>
      <c r="B765" t="inlineStr">
        <is>
          <t>CUST0010</t>
        </is>
      </c>
      <c r="C765" t="inlineStr">
        <is>
          <t>PROD073</t>
        </is>
      </c>
      <c r="D765" t="inlineStr">
        <is>
          <t>STORE046</t>
        </is>
      </c>
      <c r="E765" t="inlineStr">
        <is>
          <t>DP023</t>
        </is>
      </c>
      <c r="F765" t="inlineStr">
        <is>
          <t>2024-12-26 20:02:00</t>
        </is>
      </c>
      <c r="G765" t="inlineStr">
        <is>
          <t>2024-12-26 20:28:00</t>
        </is>
      </c>
      <c r="H765" s="14" t="n">
        <v>5</v>
      </c>
      <c r="I765" s="13" t="n">
        <v>719.85</v>
      </c>
      <c r="J765" s="13" t="n">
        <v>169.54</v>
      </c>
      <c r="K765" s="16" t="n">
        <v>26</v>
      </c>
      <c r="L765" t="inlineStr">
        <is>
          <t>Cancelled</t>
        </is>
      </c>
      <c r="M765" t="inlineStr">
        <is>
          <t>PAY04</t>
        </is>
      </c>
      <c r="N765" t="inlineStr">
        <is>
          <t>Evening</t>
        </is>
      </c>
      <c r="O765">
        <f>INDEX(Products_Catalog!$B$2:$B$151, MATCH(C765, Products_Catalog!$A$2:$A$151, 0))</f>
        <v/>
      </c>
      <c r="P765" s="13">
        <f>INDEX(Products_Catalog!$D$2:$D$151, MATCH(C765, Products_Catalog!$A$2:$A$151, 0))</f>
        <v/>
      </c>
      <c r="Q765" s="13">
        <f>I765-J765</f>
        <v/>
      </c>
      <c r="R765" s="15">
        <f>IF(K765&gt;20, "BREACH", "OK")</f>
        <v/>
      </c>
    </row>
    <row r="766">
      <c r="A766" t="inlineStr">
        <is>
          <t>ORD01897</t>
        </is>
      </c>
      <c r="B766" t="inlineStr">
        <is>
          <t>CUST0002</t>
        </is>
      </c>
      <c r="C766" t="inlineStr">
        <is>
          <t>PROD001</t>
        </is>
      </c>
      <c r="D766" t="inlineStr">
        <is>
          <t>STORE005</t>
        </is>
      </c>
      <c r="E766" t="inlineStr">
        <is>
          <t>DP024</t>
        </is>
      </c>
      <c r="F766" t="inlineStr">
        <is>
          <t>2024-07-01 10:11:00</t>
        </is>
      </c>
      <c r="G766" t="inlineStr">
        <is>
          <t>2024-07-01 10:38:00</t>
        </is>
      </c>
      <c r="H766" s="14" t="n">
        <v>2</v>
      </c>
      <c r="I766" s="13" t="n">
        <v>508.24</v>
      </c>
      <c r="J766" s="13" t="n">
        <v>108.51</v>
      </c>
      <c r="K766" s="16" t="n">
        <v>27</v>
      </c>
      <c r="L766" t="inlineStr">
        <is>
          <t>Returned</t>
        </is>
      </c>
      <c r="M766" t="inlineStr">
        <is>
          <t>PAY03</t>
        </is>
      </c>
      <c r="N766" t="inlineStr">
        <is>
          <t>Morning</t>
        </is>
      </c>
      <c r="O766">
        <f>INDEX(Products_Catalog!$B$2:$B$151, MATCH(C766, Products_Catalog!$A$2:$A$151, 0))</f>
        <v/>
      </c>
      <c r="P766" s="13">
        <f>INDEX(Products_Catalog!$D$2:$D$151, MATCH(C766, Products_Catalog!$A$2:$A$151, 0))</f>
        <v/>
      </c>
      <c r="Q766" s="13">
        <f>I766-J766</f>
        <v/>
      </c>
      <c r="R766" s="15">
        <f>IF(K766&gt;20, "BREACH", "OK")</f>
        <v/>
      </c>
    </row>
    <row r="767">
      <c r="A767" t="inlineStr">
        <is>
          <t>ORD01899</t>
        </is>
      </c>
      <c r="B767" t="inlineStr">
        <is>
          <t>CUST0020</t>
        </is>
      </c>
      <c r="C767" t="inlineStr">
        <is>
          <t>PROD077</t>
        </is>
      </c>
      <c r="D767" t="inlineStr">
        <is>
          <t>STORE004</t>
        </is>
      </c>
      <c r="E767" t="inlineStr">
        <is>
          <t>DP013</t>
        </is>
      </c>
      <c r="F767" t="inlineStr">
        <is>
          <t>2024-05-11 09:04:00</t>
        </is>
      </c>
      <c r="G767" t="inlineStr">
        <is>
          <t>2024-05-11 09:33:00</t>
        </is>
      </c>
      <c r="H767" s="14" t="n">
        <v>5</v>
      </c>
      <c r="I767" s="13" t="n">
        <v>1655.05</v>
      </c>
      <c r="J767" s="13" t="n">
        <v>266.34</v>
      </c>
      <c r="K767" s="16" t="n">
        <v>29</v>
      </c>
      <c r="L767" t="inlineStr">
        <is>
          <t>Delivered</t>
        </is>
      </c>
      <c r="M767" t="inlineStr">
        <is>
          <t>PAY03</t>
        </is>
      </c>
      <c r="N767" t="inlineStr">
        <is>
          <t>Morning</t>
        </is>
      </c>
      <c r="O767">
        <f>INDEX(Products_Catalog!$B$2:$B$151, MATCH(C767, Products_Catalog!$A$2:$A$151, 0))</f>
        <v/>
      </c>
      <c r="P767" s="13">
        <f>INDEX(Products_Catalog!$D$2:$D$151, MATCH(C767, Products_Catalog!$A$2:$A$151, 0))</f>
        <v/>
      </c>
      <c r="Q767" s="13">
        <f>I767-J767</f>
        <v/>
      </c>
      <c r="R767" s="15">
        <f>IF(K767&gt;20, "BREACH", "OK")</f>
        <v/>
      </c>
    </row>
    <row r="768">
      <c r="A768" t="inlineStr">
        <is>
          <t>ORD01900</t>
        </is>
      </c>
      <c r="B768" t="inlineStr">
        <is>
          <t>CUST0015</t>
        </is>
      </c>
      <c r="C768" t="inlineStr">
        <is>
          <t>PROD074</t>
        </is>
      </c>
      <c r="D768" t="inlineStr">
        <is>
          <t>STORE004</t>
        </is>
      </c>
      <c r="E768" t="inlineStr">
        <is>
          <t>DP015</t>
        </is>
      </c>
      <c r="F768" t="inlineStr">
        <is>
          <t>2025-05-23 17:21:00</t>
        </is>
      </c>
      <c r="G768" t="inlineStr">
        <is>
          <t>2025-05-23 17:51:00</t>
        </is>
      </c>
      <c r="H768" s="14" t="n">
        <v>5</v>
      </c>
      <c r="I768" s="13" t="n">
        <v>1475.1</v>
      </c>
      <c r="J768" s="13" t="n">
        <v>283.06</v>
      </c>
      <c r="K768" s="16" t="n">
        <v>30</v>
      </c>
      <c r="L768" t="inlineStr">
        <is>
          <t>Cancelled</t>
        </is>
      </c>
      <c r="M768" t="inlineStr">
        <is>
          <t>PAY01</t>
        </is>
      </c>
      <c r="N768" t="inlineStr">
        <is>
          <t>Evening</t>
        </is>
      </c>
      <c r="O768">
        <f>INDEX(Products_Catalog!$B$2:$B$151, MATCH(C768, Products_Catalog!$A$2:$A$151, 0))</f>
        <v/>
      </c>
      <c r="P768" s="13">
        <f>INDEX(Products_Catalog!$D$2:$D$151, MATCH(C768, Products_Catalog!$A$2:$A$151, 0))</f>
        <v/>
      </c>
      <c r="Q768" s="13">
        <f>I768-J768</f>
        <v/>
      </c>
      <c r="R768" s="15">
        <f>IF(K768&gt;20, "BREACH", "OK")</f>
        <v/>
      </c>
    </row>
    <row r="769">
      <c r="A769" t="inlineStr">
        <is>
          <t>ORD01902</t>
        </is>
      </c>
      <c r="B769" t="inlineStr">
        <is>
          <t>CUST0002</t>
        </is>
      </c>
      <c r="C769" t="inlineStr">
        <is>
          <t>PROD006</t>
        </is>
      </c>
      <c r="D769" t="inlineStr">
        <is>
          <t>STORE025</t>
        </is>
      </c>
      <c r="E769" t="inlineStr">
        <is>
          <t>DP050</t>
        </is>
      </c>
      <c r="F769" t="inlineStr">
        <is>
          <t>2024-04-09 10:58:00</t>
        </is>
      </c>
      <c r="G769" t="inlineStr">
        <is>
          <t>2024-04-09 11:19:00</t>
        </is>
      </c>
      <c r="H769" s="14" t="n">
        <v>2</v>
      </c>
      <c r="I769" s="13" t="n">
        <v>904.6799999999999</v>
      </c>
      <c r="J769" s="13" t="n">
        <v>270.83</v>
      </c>
      <c r="K769" s="16" t="n">
        <v>21</v>
      </c>
      <c r="L769" t="inlineStr">
        <is>
          <t>Pending</t>
        </is>
      </c>
      <c r="M769" t="inlineStr">
        <is>
          <t>PAY04</t>
        </is>
      </c>
      <c r="N769" t="inlineStr">
        <is>
          <t>Morning</t>
        </is>
      </c>
      <c r="O769">
        <f>INDEX(Products_Catalog!$B$2:$B$151, MATCH(C769, Products_Catalog!$A$2:$A$151, 0))</f>
        <v/>
      </c>
      <c r="P769" s="13">
        <f>INDEX(Products_Catalog!$D$2:$D$151, MATCH(C769, Products_Catalog!$A$2:$A$151, 0))</f>
        <v/>
      </c>
      <c r="Q769" s="13">
        <f>I769-J769</f>
        <v/>
      </c>
      <c r="R769" s="15">
        <f>IF(K769&gt;20, "BREACH", "OK")</f>
        <v/>
      </c>
    </row>
    <row r="770">
      <c r="A770" t="inlineStr">
        <is>
          <t>ORD01904</t>
        </is>
      </c>
      <c r="B770" t="inlineStr">
        <is>
          <t>CUST0023</t>
        </is>
      </c>
      <c r="C770" t="inlineStr">
        <is>
          <t>PROD037</t>
        </is>
      </c>
      <c r="D770" t="inlineStr">
        <is>
          <t>STORE012</t>
        </is>
      </c>
      <c r="E770" t="inlineStr">
        <is>
          <t>DP010</t>
        </is>
      </c>
      <c r="F770" t="inlineStr">
        <is>
          <t>2025-02-27 08:00:00</t>
        </is>
      </c>
      <c r="G770" t="inlineStr">
        <is>
          <t>2025-02-27 08:23:00</t>
        </is>
      </c>
      <c r="H770" s="14" t="n">
        <v>5</v>
      </c>
      <c r="I770" s="13" t="n">
        <v>708.6</v>
      </c>
      <c r="J770" s="13" t="n">
        <v>174.2</v>
      </c>
      <c r="K770" s="16" t="n">
        <v>23</v>
      </c>
      <c r="L770" t="inlineStr">
        <is>
          <t>Delivered</t>
        </is>
      </c>
      <c r="M770" t="inlineStr">
        <is>
          <t>PAY04</t>
        </is>
      </c>
      <c r="N770" t="inlineStr">
        <is>
          <t>Morning</t>
        </is>
      </c>
      <c r="O770">
        <f>INDEX(Products_Catalog!$B$2:$B$151, MATCH(C770, Products_Catalog!$A$2:$A$151, 0))</f>
        <v/>
      </c>
      <c r="P770" s="13">
        <f>INDEX(Products_Catalog!$D$2:$D$151, MATCH(C770, Products_Catalog!$A$2:$A$151, 0))</f>
        <v/>
      </c>
      <c r="Q770" s="13">
        <f>I770-J770</f>
        <v/>
      </c>
      <c r="R770" s="15">
        <f>IF(K770&gt;20, "BREACH", "OK")</f>
        <v/>
      </c>
    </row>
    <row r="771">
      <c r="A771" t="inlineStr">
        <is>
          <t>ORD01905</t>
        </is>
      </c>
      <c r="B771" t="inlineStr">
        <is>
          <t>CUST0009</t>
        </is>
      </c>
      <c r="C771" t="inlineStr">
        <is>
          <t>PROD045</t>
        </is>
      </c>
      <c r="D771" t="inlineStr">
        <is>
          <t>STORE001</t>
        </is>
      </c>
      <c r="E771" t="inlineStr">
        <is>
          <t>DP044</t>
        </is>
      </c>
      <c r="F771" t="inlineStr">
        <is>
          <t>2024-12-27 17:18:00</t>
        </is>
      </c>
      <c r="G771" t="inlineStr">
        <is>
          <t>2024-12-27 17:42:00</t>
        </is>
      </c>
      <c r="H771" s="14" t="n">
        <v>1</v>
      </c>
      <c r="I771" s="13" t="n">
        <v>445.91</v>
      </c>
      <c r="J771" s="13" t="n">
        <v>110.92</v>
      </c>
      <c r="K771" s="16" t="n">
        <v>24</v>
      </c>
      <c r="L771" t="inlineStr">
        <is>
          <t>Pending</t>
        </is>
      </c>
      <c r="M771" t="inlineStr">
        <is>
          <t>PAY03</t>
        </is>
      </c>
      <c r="N771" t="inlineStr">
        <is>
          <t>Evening</t>
        </is>
      </c>
      <c r="O771">
        <f>INDEX(Products_Catalog!$B$2:$B$151, MATCH(C771, Products_Catalog!$A$2:$A$151, 0))</f>
        <v/>
      </c>
      <c r="P771" s="13">
        <f>INDEX(Products_Catalog!$D$2:$D$151, MATCH(C771, Products_Catalog!$A$2:$A$151, 0))</f>
        <v/>
      </c>
      <c r="Q771" s="13">
        <f>I771-J771</f>
        <v/>
      </c>
      <c r="R771" s="15">
        <f>IF(K771&gt;20, "BREACH", "OK")</f>
        <v/>
      </c>
    </row>
    <row r="772">
      <c r="A772" t="inlineStr">
        <is>
          <t>ORD01906</t>
        </is>
      </c>
      <c r="B772" t="inlineStr">
        <is>
          <t>CUST0021</t>
        </is>
      </c>
      <c r="C772" t="inlineStr">
        <is>
          <t>PROD124</t>
        </is>
      </c>
      <c r="D772" t="inlineStr">
        <is>
          <t>STORE017</t>
        </is>
      </c>
      <c r="E772" t="inlineStr">
        <is>
          <t>DP046</t>
        </is>
      </c>
      <c r="F772" t="inlineStr">
        <is>
          <t>2024-05-08 13:47:00</t>
        </is>
      </c>
      <c r="G772" t="inlineStr">
        <is>
          <t>2024-05-08 14:12:00</t>
        </is>
      </c>
      <c r="H772" s="14" t="n">
        <v>3</v>
      </c>
      <c r="I772" s="13" t="n">
        <v>914.37</v>
      </c>
      <c r="J772" s="13" t="n">
        <v>41.27</v>
      </c>
      <c r="K772" s="16" t="n">
        <v>25</v>
      </c>
      <c r="L772" t="inlineStr">
        <is>
          <t>Shipped</t>
        </is>
      </c>
      <c r="M772" t="inlineStr">
        <is>
          <t>PAY03</t>
        </is>
      </c>
      <c r="N772" t="inlineStr">
        <is>
          <t>Afternoon</t>
        </is>
      </c>
      <c r="O772">
        <f>INDEX(Products_Catalog!$B$2:$B$151, MATCH(C772, Products_Catalog!$A$2:$A$151, 0))</f>
        <v/>
      </c>
      <c r="P772" s="13">
        <f>INDEX(Products_Catalog!$D$2:$D$151, MATCH(C772, Products_Catalog!$A$2:$A$151, 0))</f>
        <v/>
      </c>
      <c r="Q772" s="13">
        <f>I772-J772</f>
        <v/>
      </c>
      <c r="R772" s="15">
        <f>IF(K772&gt;20, "BREACH", "OK")</f>
        <v/>
      </c>
    </row>
    <row r="773">
      <c r="A773" t="inlineStr">
        <is>
          <t>ORD01908</t>
        </is>
      </c>
      <c r="B773" t="inlineStr">
        <is>
          <t>CUST0016</t>
        </is>
      </c>
      <c r="C773" t="inlineStr">
        <is>
          <t>PROD015</t>
        </is>
      </c>
      <c r="D773" t="inlineStr">
        <is>
          <t>STORE003</t>
        </is>
      </c>
      <c r="E773" t="inlineStr">
        <is>
          <t>DP028</t>
        </is>
      </c>
      <c r="F773" t="inlineStr">
        <is>
          <t>2025-06-28 13:01:00</t>
        </is>
      </c>
      <c r="G773" t="inlineStr">
        <is>
          <t>2025-06-28 13:28:00</t>
        </is>
      </c>
      <c r="H773" s="14" t="n">
        <v>1</v>
      </c>
      <c r="I773" s="13" t="n">
        <v>385.2</v>
      </c>
      <c r="J773" s="13" t="n">
        <v>61.01</v>
      </c>
      <c r="K773" s="16" t="n">
        <v>27</v>
      </c>
      <c r="L773" t="inlineStr">
        <is>
          <t>Shipped</t>
        </is>
      </c>
      <c r="M773" t="inlineStr">
        <is>
          <t>PAY05</t>
        </is>
      </c>
      <c r="N773" t="inlineStr">
        <is>
          <t>Afternoon</t>
        </is>
      </c>
      <c r="O773">
        <f>INDEX(Products_Catalog!$B$2:$B$151, MATCH(C773, Products_Catalog!$A$2:$A$151, 0))</f>
        <v/>
      </c>
      <c r="P773" s="13">
        <f>INDEX(Products_Catalog!$D$2:$D$151, MATCH(C773, Products_Catalog!$A$2:$A$151, 0))</f>
        <v/>
      </c>
      <c r="Q773" s="13">
        <f>I773-J773</f>
        <v/>
      </c>
      <c r="R773" s="15">
        <f>IF(K773&gt;20, "BREACH", "OK")</f>
        <v/>
      </c>
    </row>
    <row r="774">
      <c r="A774" t="inlineStr">
        <is>
          <t>ORD01909</t>
        </is>
      </c>
      <c r="B774" t="inlineStr">
        <is>
          <t>CUST0009</t>
        </is>
      </c>
      <c r="C774" t="inlineStr">
        <is>
          <t>PROD134</t>
        </is>
      </c>
      <c r="D774" t="inlineStr">
        <is>
          <t>STORE002</t>
        </is>
      </c>
      <c r="E774" t="inlineStr">
        <is>
          <t>DP047</t>
        </is>
      </c>
      <c r="F774" t="inlineStr">
        <is>
          <t>2024-12-03 07:46:00</t>
        </is>
      </c>
      <c r="G774" t="inlineStr">
        <is>
          <t>2024-12-03 08:14:00</t>
        </is>
      </c>
      <c r="H774" s="14" t="n">
        <v>4</v>
      </c>
      <c r="I774" s="13" t="n">
        <v>872.6799999999999</v>
      </c>
      <c r="J774" s="13" t="n">
        <v>234.5</v>
      </c>
      <c r="K774" s="16" t="n">
        <v>28</v>
      </c>
      <c r="L774" t="inlineStr">
        <is>
          <t>Returned</t>
        </is>
      </c>
      <c r="M774" t="inlineStr">
        <is>
          <t>PAY02</t>
        </is>
      </c>
      <c r="N774" t="inlineStr">
        <is>
          <t>Morning</t>
        </is>
      </c>
      <c r="O774">
        <f>INDEX(Products_Catalog!$B$2:$B$151, MATCH(C774, Products_Catalog!$A$2:$A$151, 0))</f>
        <v/>
      </c>
      <c r="P774" s="13">
        <f>INDEX(Products_Catalog!$D$2:$D$151, MATCH(C774, Products_Catalog!$A$2:$A$151, 0))</f>
        <v/>
      </c>
      <c r="Q774" s="13">
        <f>I774-J774</f>
        <v/>
      </c>
      <c r="R774" s="15">
        <f>IF(K774&gt;20, "BREACH", "OK")</f>
        <v/>
      </c>
    </row>
    <row r="775">
      <c r="A775" t="inlineStr">
        <is>
          <t>ORD01911</t>
        </is>
      </c>
      <c r="B775" t="inlineStr">
        <is>
          <t>CUST0035</t>
        </is>
      </c>
      <c r="C775" t="inlineStr">
        <is>
          <t>PROD015</t>
        </is>
      </c>
      <c r="D775" t="inlineStr">
        <is>
          <t>STORE050</t>
        </is>
      </c>
      <c r="E775" t="inlineStr">
        <is>
          <t>DP043</t>
        </is>
      </c>
      <c r="F775" t="inlineStr">
        <is>
          <t>2025-05-11 20:07:00</t>
        </is>
      </c>
      <c r="G775" t="inlineStr">
        <is>
          <t>2025-05-11 20:37:00</t>
        </is>
      </c>
      <c r="H775" s="14" t="n">
        <v>1</v>
      </c>
      <c r="I775" s="13" t="n">
        <v>139.97</v>
      </c>
      <c r="J775" s="13" t="n">
        <v>14.38</v>
      </c>
      <c r="K775" s="16" t="n">
        <v>30</v>
      </c>
      <c r="L775" t="inlineStr">
        <is>
          <t>Returned</t>
        </is>
      </c>
      <c r="M775" t="inlineStr">
        <is>
          <t>PAY05</t>
        </is>
      </c>
      <c r="N775" t="inlineStr">
        <is>
          <t>Evening</t>
        </is>
      </c>
      <c r="O775">
        <f>INDEX(Products_Catalog!$B$2:$B$151, MATCH(C775, Products_Catalog!$A$2:$A$151, 0))</f>
        <v/>
      </c>
      <c r="P775" s="13">
        <f>INDEX(Products_Catalog!$D$2:$D$151, MATCH(C775, Products_Catalog!$A$2:$A$151, 0))</f>
        <v/>
      </c>
      <c r="Q775" s="13">
        <f>I775-J775</f>
        <v/>
      </c>
      <c r="R775" s="15">
        <f>IF(K775&gt;20, "BREACH", "OK")</f>
        <v/>
      </c>
    </row>
    <row r="776">
      <c r="A776" t="inlineStr">
        <is>
          <t>ORD01912</t>
        </is>
      </c>
      <c r="B776" t="inlineStr">
        <is>
          <t>CUST0017</t>
        </is>
      </c>
      <c r="C776" t="inlineStr">
        <is>
          <t>PROD095</t>
        </is>
      </c>
      <c r="D776" t="inlineStr">
        <is>
          <t>STORE003</t>
        </is>
      </c>
      <c r="E776" t="inlineStr">
        <is>
          <t>DP021</t>
        </is>
      </c>
      <c r="F776" t="inlineStr">
        <is>
          <t>2025-04-26 17:49:00</t>
        </is>
      </c>
      <c r="G776" t="inlineStr">
        <is>
          <t>2025-04-26 17:59:00</t>
        </is>
      </c>
      <c r="H776" s="14" t="n">
        <v>10</v>
      </c>
      <c r="I776" s="13" t="n">
        <v>4092.6</v>
      </c>
      <c r="J776" s="13" t="n">
        <v>958.88</v>
      </c>
      <c r="K776" s="16" t="n">
        <v>10</v>
      </c>
      <c r="L776" t="inlineStr">
        <is>
          <t>Delivered</t>
        </is>
      </c>
      <c r="M776" t="inlineStr">
        <is>
          <t>PAY03</t>
        </is>
      </c>
      <c r="N776" t="inlineStr">
        <is>
          <t>Evening</t>
        </is>
      </c>
      <c r="O776">
        <f>INDEX(Products_Catalog!$B$2:$B$151, MATCH(C776, Products_Catalog!$A$2:$A$151, 0))</f>
        <v/>
      </c>
      <c r="P776" s="13">
        <f>INDEX(Products_Catalog!$D$2:$D$151, MATCH(C776, Products_Catalog!$A$2:$A$151, 0))</f>
        <v/>
      </c>
      <c r="Q776" s="13">
        <f>I776-J776</f>
        <v/>
      </c>
      <c r="R776" s="15">
        <f>IF(K776&gt;20, "BREACH", "OK")</f>
        <v/>
      </c>
    </row>
    <row r="777">
      <c r="A777" t="inlineStr">
        <is>
          <t>ORD01913</t>
        </is>
      </c>
      <c r="B777" t="inlineStr">
        <is>
          <t>CUST0007</t>
        </is>
      </c>
      <c r="C777" t="inlineStr">
        <is>
          <t>PROD112</t>
        </is>
      </c>
      <c r="D777" t="inlineStr">
        <is>
          <t>STORE009</t>
        </is>
      </c>
      <c r="E777" t="inlineStr">
        <is>
          <t>DP044</t>
        </is>
      </c>
      <c r="F777" t="inlineStr">
        <is>
          <t>2024-03-31 13:59:00</t>
        </is>
      </c>
      <c r="G777" t="inlineStr">
        <is>
          <t>2024-03-31 14:12:00</t>
        </is>
      </c>
      <c r="H777" s="14" t="n">
        <v>4</v>
      </c>
      <c r="I777" s="13" t="n">
        <v>318.88</v>
      </c>
      <c r="J777" s="13" t="n">
        <v>26.32</v>
      </c>
      <c r="K777" s="16" t="n">
        <v>13</v>
      </c>
      <c r="L777" t="inlineStr">
        <is>
          <t>Pending</t>
        </is>
      </c>
      <c r="M777" t="inlineStr">
        <is>
          <t>PAY01</t>
        </is>
      </c>
      <c r="N777" t="inlineStr">
        <is>
          <t>Afternoon</t>
        </is>
      </c>
      <c r="O777">
        <f>INDEX(Products_Catalog!$B$2:$B$151, MATCH(C777, Products_Catalog!$A$2:$A$151, 0))</f>
        <v/>
      </c>
      <c r="P777" s="13">
        <f>INDEX(Products_Catalog!$D$2:$D$151, MATCH(C777, Products_Catalog!$A$2:$A$151, 0))</f>
        <v/>
      </c>
      <c r="Q777" s="13">
        <f>I777-J777</f>
        <v/>
      </c>
      <c r="R777" s="15">
        <f>IF(K777&gt;20, "BREACH", "OK")</f>
        <v/>
      </c>
    </row>
    <row r="778">
      <c r="A778" t="inlineStr">
        <is>
          <t>ORD01914</t>
        </is>
      </c>
      <c r="B778" t="inlineStr">
        <is>
          <t>CUST0034</t>
        </is>
      </c>
      <c r="C778" t="inlineStr">
        <is>
          <t>PROD030</t>
        </is>
      </c>
      <c r="D778" t="inlineStr">
        <is>
          <t>STORE028</t>
        </is>
      </c>
      <c r="E778" t="inlineStr">
        <is>
          <t>DP032</t>
        </is>
      </c>
      <c r="F778" t="inlineStr">
        <is>
          <t>2024-02-06 13:06:00</t>
        </is>
      </c>
      <c r="G778" t="inlineStr">
        <is>
          <t>2024-02-06 13:24:00</t>
        </is>
      </c>
      <c r="H778" s="14" t="n">
        <v>6</v>
      </c>
      <c r="I778" s="13" t="n">
        <v>2318.46</v>
      </c>
      <c r="J778" s="13" t="n">
        <v>277.33</v>
      </c>
      <c r="K778" s="16" t="n">
        <v>18</v>
      </c>
      <c r="L778" t="inlineStr">
        <is>
          <t>Shipped</t>
        </is>
      </c>
      <c r="M778" t="inlineStr">
        <is>
          <t>PAY04</t>
        </is>
      </c>
      <c r="N778" t="inlineStr">
        <is>
          <t>Afternoon</t>
        </is>
      </c>
      <c r="O778">
        <f>INDEX(Products_Catalog!$B$2:$B$151, MATCH(C778, Products_Catalog!$A$2:$A$151, 0))</f>
        <v/>
      </c>
      <c r="P778" s="13">
        <f>INDEX(Products_Catalog!$D$2:$D$151, MATCH(C778, Products_Catalog!$A$2:$A$151, 0))</f>
        <v/>
      </c>
      <c r="Q778" s="13">
        <f>I778-J778</f>
        <v/>
      </c>
      <c r="R778" s="15">
        <f>IF(K778&gt;20, "BREACH", "OK")</f>
        <v/>
      </c>
    </row>
    <row r="779">
      <c r="A779" t="inlineStr">
        <is>
          <t>ORD01916</t>
        </is>
      </c>
      <c r="B779" t="inlineStr">
        <is>
          <t>CUST0020</t>
        </is>
      </c>
      <c r="C779" t="inlineStr">
        <is>
          <t>PROD057</t>
        </is>
      </c>
      <c r="D779" t="inlineStr">
        <is>
          <t>STORE007</t>
        </is>
      </c>
      <c r="E779" t="inlineStr">
        <is>
          <t>DP015</t>
        </is>
      </c>
      <c r="F779" t="inlineStr">
        <is>
          <t>2024-02-28 10:18:00</t>
        </is>
      </c>
      <c r="G779" t="inlineStr">
        <is>
          <t>2024-02-28 10:46:00</t>
        </is>
      </c>
      <c r="H779" s="14" t="n">
        <v>2</v>
      </c>
      <c r="I779" s="13" t="n">
        <v>135.22</v>
      </c>
      <c r="J779" s="13" t="n">
        <v>28.65</v>
      </c>
      <c r="K779" s="16" t="n">
        <v>28</v>
      </c>
      <c r="L779" t="inlineStr">
        <is>
          <t>Cancelled</t>
        </is>
      </c>
      <c r="M779" t="inlineStr">
        <is>
          <t>PAY01</t>
        </is>
      </c>
      <c r="N779" t="inlineStr">
        <is>
          <t>Morning</t>
        </is>
      </c>
      <c r="O779">
        <f>INDEX(Products_Catalog!$B$2:$B$151, MATCH(C779, Products_Catalog!$A$2:$A$151, 0))</f>
        <v/>
      </c>
      <c r="P779" s="13">
        <f>INDEX(Products_Catalog!$D$2:$D$151, MATCH(C779, Products_Catalog!$A$2:$A$151, 0))</f>
        <v/>
      </c>
      <c r="Q779" s="13">
        <f>I779-J779</f>
        <v/>
      </c>
      <c r="R779" s="15">
        <f>IF(K779&gt;20, "BREACH", "OK")</f>
        <v/>
      </c>
    </row>
    <row r="780">
      <c r="A780" t="inlineStr">
        <is>
          <t>ORD01917</t>
        </is>
      </c>
      <c r="B780" t="inlineStr">
        <is>
          <t>CUST0011</t>
        </is>
      </c>
      <c r="C780" t="inlineStr">
        <is>
          <t>PROD111</t>
        </is>
      </c>
      <c r="D780" t="inlineStr">
        <is>
          <t>STORE008</t>
        </is>
      </c>
      <c r="E780" t="inlineStr">
        <is>
          <t>DP050</t>
        </is>
      </c>
      <c r="F780" t="inlineStr">
        <is>
          <t>2024-06-06 12:20:00</t>
        </is>
      </c>
      <c r="G780" t="inlineStr">
        <is>
          <t>2024-06-06 12:32:00</t>
        </is>
      </c>
      <c r="H780" s="14" t="n">
        <v>1</v>
      </c>
      <c r="I780" s="13" t="n">
        <v>135.43</v>
      </c>
      <c r="J780" s="13" t="n">
        <v>16.28</v>
      </c>
      <c r="K780" s="16" t="n">
        <v>12</v>
      </c>
      <c r="L780" t="inlineStr">
        <is>
          <t>Shipped</t>
        </is>
      </c>
      <c r="M780" t="inlineStr">
        <is>
          <t>PAY01</t>
        </is>
      </c>
      <c r="N780" t="inlineStr">
        <is>
          <t>Afternoon</t>
        </is>
      </c>
      <c r="O780">
        <f>INDEX(Products_Catalog!$B$2:$B$151, MATCH(C780, Products_Catalog!$A$2:$A$151, 0))</f>
        <v/>
      </c>
      <c r="P780" s="13">
        <f>INDEX(Products_Catalog!$D$2:$D$151, MATCH(C780, Products_Catalog!$A$2:$A$151, 0))</f>
        <v/>
      </c>
      <c r="Q780" s="13">
        <f>I780-J780</f>
        <v/>
      </c>
      <c r="R780" s="15">
        <f>IF(K780&gt;20, "BREACH", "OK")</f>
        <v/>
      </c>
    </row>
    <row r="781">
      <c r="A781" t="inlineStr">
        <is>
          <t>ORD01918</t>
        </is>
      </c>
      <c r="B781" t="inlineStr">
        <is>
          <t>CUST0006</t>
        </is>
      </c>
      <c r="C781" t="inlineStr">
        <is>
          <t>PROD094</t>
        </is>
      </c>
      <c r="D781" t="inlineStr">
        <is>
          <t>STORE048</t>
        </is>
      </c>
      <c r="E781" t="inlineStr">
        <is>
          <t>DP001</t>
        </is>
      </c>
      <c r="F781" t="inlineStr">
        <is>
          <t>2024-03-30 15:53:00</t>
        </is>
      </c>
      <c r="G781" t="inlineStr">
        <is>
          <t>2024-03-30 16:09:00</t>
        </is>
      </c>
      <c r="H781" s="14" t="n">
        <v>10</v>
      </c>
      <c r="I781" s="13" t="n">
        <v>4616.8</v>
      </c>
      <c r="J781" s="13" t="n">
        <v>783.42</v>
      </c>
      <c r="K781" s="16" t="n">
        <v>16</v>
      </c>
      <c r="L781" t="inlineStr">
        <is>
          <t>Delivered</t>
        </is>
      </c>
      <c r="M781" t="inlineStr">
        <is>
          <t>PAY03</t>
        </is>
      </c>
      <c r="N781" t="inlineStr">
        <is>
          <t>Afternoon</t>
        </is>
      </c>
      <c r="O781">
        <f>INDEX(Products_Catalog!$B$2:$B$151, MATCH(C781, Products_Catalog!$A$2:$A$151, 0))</f>
        <v/>
      </c>
      <c r="P781" s="13">
        <f>INDEX(Products_Catalog!$D$2:$D$151, MATCH(C781, Products_Catalog!$A$2:$A$151, 0))</f>
        <v/>
      </c>
      <c r="Q781" s="13">
        <f>I781-J781</f>
        <v/>
      </c>
      <c r="R781" s="15">
        <f>IF(K781&gt;20, "BREACH", "OK")</f>
        <v/>
      </c>
    </row>
    <row r="782">
      <c r="A782" t="inlineStr">
        <is>
          <t>ORD01923</t>
        </is>
      </c>
      <c r="B782" t="inlineStr">
        <is>
          <t>CUST0047</t>
        </is>
      </c>
      <c r="C782" t="inlineStr">
        <is>
          <t>PROD095</t>
        </is>
      </c>
      <c r="D782" t="inlineStr">
        <is>
          <t>STORE009</t>
        </is>
      </c>
      <c r="E782" t="inlineStr">
        <is>
          <t>DP018</t>
        </is>
      </c>
      <c r="F782" t="inlineStr">
        <is>
          <t>2024-11-25 19:02:00</t>
        </is>
      </c>
      <c r="G782" t="inlineStr">
        <is>
          <t>2024-11-25 19:32:00</t>
        </is>
      </c>
      <c r="H782" s="14" t="n">
        <v>2</v>
      </c>
      <c r="I782" s="13" t="n">
        <v>709.24</v>
      </c>
      <c r="J782" s="13" t="n">
        <v>55.26</v>
      </c>
      <c r="K782" s="16" t="n">
        <v>30</v>
      </c>
      <c r="L782" t="inlineStr">
        <is>
          <t>Delivered</t>
        </is>
      </c>
      <c r="M782" t="inlineStr">
        <is>
          <t>PAY02</t>
        </is>
      </c>
      <c r="N782" t="inlineStr">
        <is>
          <t>Evening</t>
        </is>
      </c>
      <c r="O782">
        <f>INDEX(Products_Catalog!$B$2:$B$151, MATCH(C782, Products_Catalog!$A$2:$A$151, 0))</f>
        <v/>
      </c>
      <c r="P782" s="13">
        <f>INDEX(Products_Catalog!$D$2:$D$151, MATCH(C782, Products_Catalog!$A$2:$A$151, 0))</f>
        <v/>
      </c>
      <c r="Q782" s="13">
        <f>I782-J782</f>
        <v/>
      </c>
      <c r="R782" s="15">
        <f>IF(K782&gt;20, "BREACH", "OK")</f>
        <v/>
      </c>
    </row>
    <row r="783">
      <c r="A783" t="inlineStr">
        <is>
          <t>ORD01924</t>
        </is>
      </c>
      <c r="B783" t="inlineStr">
        <is>
          <t>CUST0001</t>
        </is>
      </c>
      <c r="C783" t="inlineStr">
        <is>
          <t>PROD099</t>
        </is>
      </c>
      <c r="D783" t="inlineStr">
        <is>
          <t>STORE049</t>
        </is>
      </c>
      <c r="E783" t="inlineStr">
        <is>
          <t>DP016</t>
        </is>
      </c>
      <c r="F783" t="inlineStr">
        <is>
          <t>2024-10-05 08:35:00</t>
        </is>
      </c>
      <c r="G783" t="inlineStr">
        <is>
          <t>2024-10-05 08:49:00</t>
        </is>
      </c>
      <c r="H783" s="14" t="n">
        <v>8</v>
      </c>
      <c r="I783" s="13" t="n">
        <v>898.64</v>
      </c>
      <c r="J783" s="13" t="n">
        <v>250.69</v>
      </c>
      <c r="K783" s="16" t="n">
        <v>14</v>
      </c>
      <c r="L783" t="inlineStr">
        <is>
          <t>Returned</t>
        </is>
      </c>
      <c r="M783" t="inlineStr">
        <is>
          <t>PAY05</t>
        </is>
      </c>
      <c r="N783" t="inlineStr">
        <is>
          <t>Morning</t>
        </is>
      </c>
      <c r="O783">
        <f>INDEX(Products_Catalog!$B$2:$B$151, MATCH(C783, Products_Catalog!$A$2:$A$151, 0))</f>
        <v/>
      </c>
      <c r="P783" s="13">
        <f>INDEX(Products_Catalog!$D$2:$D$151, MATCH(C783, Products_Catalog!$A$2:$A$151, 0))</f>
        <v/>
      </c>
      <c r="Q783" s="13">
        <f>I783-J783</f>
        <v/>
      </c>
      <c r="R783" s="15">
        <f>IF(K783&gt;20, "BREACH", "OK")</f>
        <v/>
      </c>
    </row>
    <row r="784">
      <c r="A784" t="inlineStr">
        <is>
          <t>ORD01925</t>
        </is>
      </c>
      <c r="B784" t="inlineStr">
        <is>
          <t>CUST0046</t>
        </is>
      </c>
      <c r="C784" t="inlineStr">
        <is>
          <t>PROD047</t>
        </is>
      </c>
      <c r="D784" t="inlineStr">
        <is>
          <t>STORE013</t>
        </is>
      </c>
      <c r="E784" t="inlineStr">
        <is>
          <t>DP039</t>
        </is>
      </c>
      <c r="F784" t="inlineStr">
        <is>
          <t>2024-02-16 08:35:00</t>
        </is>
      </c>
      <c r="G784" t="inlineStr">
        <is>
          <t>2024-02-16 08:54:00</t>
        </is>
      </c>
      <c r="H784" s="14" t="n">
        <v>8</v>
      </c>
      <c r="I784" s="13" t="n">
        <v>2209.2</v>
      </c>
      <c r="J784" s="13" t="n">
        <v>640.62</v>
      </c>
      <c r="K784" s="16" t="n">
        <v>19</v>
      </c>
      <c r="L784" t="inlineStr">
        <is>
          <t>Cancelled</t>
        </is>
      </c>
      <c r="M784" t="inlineStr">
        <is>
          <t>PAY03</t>
        </is>
      </c>
      <c r="N784" t="inlineStr">
        <is>
          <t>Morning</t>
        </is>
      </c>
      <c r="O784">
        <f>INDEX(Products_Catalog!$B$2:$B$151, MATCH(C784, Products_Catalog!$A$2:$A$151, 0))</f>
        <v/>
      </c>
      <c r="P784" s="13">
        <f>INDEX(Products_Catalog!$D$2:$D$151, MATCH(C784, Products_Catalog!$A$2:$A$151, 0))</f>
        <v/>
      </c>
      <c r="Q784" s="13">
        <f>I784-J784</f>
        <v/>
      </c>
      <c r="R784" s="15">
        <f>IF(K784&gt;20, "BREACH", "OK")</f>
        <v/>
      </c>
    </row>
    <row r="785">
      <c r="A785" t="inlineStr">
        <is>
          <t>ORD01926</t>
        </is>
      </c>
      <c r="B785" t="inlineStr">
        <is>
          <t>CUST0014</t>
        </is>
      </c>
      <c r="C785" t="inlineStr">
        <is>
          <t>PROD108</t>
        </is>
      </c>
      <c r="D785" t="inlineStr">
        <is>
          <t>STORE016</t>
        </is>
      </c>
      <c r="E785" t="inlineStr">
        <is>
          <t>DP021</t>
        </is>
      </c>
      <c r="F785" t="inlineStr">
        <is>
          <t>2024-01-31 14:33:00</t>
        </is>
      </c>
      <c r="G785" t="inlineStr">
        <is>
          <t>2024-01-31 14:57:00</t>
        </is>
      </c>
      <c r="H785" s="14" t="n">
        <v>7</v>
      </c>
      <c r="I785" s="13" t="n">
        <v>1807.26</v>
      </c>
      <c r="J785" s="13" t="n">
        <v>359.48</v>
      </c>
      <c r="K785" s="16" t="n">
        <v>24</v>
      </c>
      <c r="L785" t="inlineStr">
        <is>
          <t>Cancelled</t>
        </is>
      </c>
      <c r="M785" t="inlineStr">
        <is>
          <t>PAY01</t>
        </is>
      </c>
      <c r="N785" t="inlineStr">
        <is>
          <t>Afternoon</t>
        </is>
      </c>
      <c r="O785">
        <f>INDEX(Products_Catalog!$B$2:$B$151, MATCH(C785, Products_Catalog!$A$2:$A$151, 0))</f>
        <v/>
      </c>
      <c r="P785" s="13">
        <f>INDEX(Products_Catalog!$D$2:$D$151, MATCH(C785, Products_Catalog!$A$2:$A$151, 0))</f>
        <v/>
      </c>
      <c r="Q785" s="13">
        <f>I785-J785</f>
        <v/>
      </c>
      <c r="R785" s="15">
        <f>IF(K785&gt;20, "BREACH", "OK")</f>
        <v/>
      </c>
    </row>
    <row r="786">
      <c r="A786" t="inlineStr">
        <is>
          <t>ORD01927</t>
        </is>
      </c>
      <c r="B786" t="inlineStr">
        <is>
          <t>CUST0040</t>
        </is>
      </c>
      <c r="C786" t="inlineStr">
        <is>
          <t>PROD100</t>
        </is>
      </c>
      <c r="D786" t="inlineStr">
        <is>
          <t>STORE028</t>
        </is>
      </c>
      <c r="E786" t="inlineStr">
        <is>
          <t>DP030</t>
        </is>
      </c>
      <c r="F786" t="inlineStr">
        <is>
          <t>2024-10-31 16:55:00</t>
        </is>
      </c>
      <c r="G786" t="inlineStr">
        <is>
          <t>2024-10-31 17:24:00</t>
        </is>
      </c>
      <c r="H786" s="14" t="n">
        <v>10</v>
      </c>
      <c r="I786" s="13" t="n">
        <v>4926.9</v>
      </c>
      <c r="J786" s="13" t="n">
        <v>1192.72</v>
      </c>
      <c r="K786" s="16" t="n">
        <v>29</v>
      </c>
      <c r="L786" t="inlineStr">
        <is>
          <t>Pending</t>
        </is>
      </c>
      <c r="M786" t="inlineStr">
        <is>
          <t>PAY05</t>
        </is>
      </c>
      <c r="N786" t="inlineStr">
        <is>
          <t>Afternoon</t>
        </is>
      </c>
      <c r="O786">
        <f>INDEX(Products_Catalog!$B$2:$B$151, MATCH(C786, Products_Catalog!$A$2:$A$151, 0))</f>
        <v/>
      </c>
      <c r="P786" s="13">
        <f>INDEX(Products_Catalog!$D$2:$D$151, MATCH(C786, Products_Catalog!$A$2:$A$151, 0))</f>
        <v/>
      </c>
      <c r="Q786" s="13">
        <f>I786-J786</f>
        <v/>
      </c>
      <c r="R786" s="15">
        <f>IF(K786&gt;20, "BREACH", "OK")</f>
        <v/>
      </c>
    </row>
    <row r="787">
      <c r="A787" t="inlineStr">
        <is>
          <t>ORD01929</t>
        </is>
      </c>
      <c r="B787" t="inlineStr">
        <is>
          <t>CUST0042</t>
        </is>
      </c>
      <c r="C787" t="inlineStr">
        <is>
          <t>PROD082</t>
        </is>
      </c>
      <c r="D787" t="inlineStr">
        <is>
          <t>STORE023</t>
        </is>
      </c>
      <c r="E787" t="inlineStr">
        <is>
          <t>DP006</t>
        </is>
      </c>
      <c r="F787" t="inlineStr">
        <is>
          <t>2024-07-20 14:43:00</t>
        </is>
      </c>
      <c r="G787" t="inlineStr">
        <is>
          <t>2024-07-20 14:56:00</t>
        </is>
      </c>
      <c r="H787" s="14" t="n">
        <v>7</v>
      </c>
      <c r="I787" s="13" t="n">
        <v>2593.08</v>
      </c>
      <c r="J787" s="13" t="n">
        <v>492.98</v>
      </c>
      <c r="K787" s="16" t="n">
        <v>13</v>
      </c>
      <c r="L787" t="inlineStr">
        <is>
          <t>Shipped</t>
        </is>
      </c>
      <c r="M787" t="inlineStr">
        <is>
          <t>PAY04</t>
        </is>
      </c>
      <c r="N787" t="inlineStr">
        <is>
          <t>Afternoon</t>
        </is>
      </c>
      <c r="O787">
        <f>INDEX(Products_Catalog!$B$2:$B$151, MATCH(C787, Products_Catalog!$A$2:$A$151, 0))</f>
        <v/>
      </c>
      <c r="P787" s="13">
        <f>INDEX(Products_Catalog!$D$2:$D$151, MATCH(C787, Products_Catalog!$A$2:$A$151, 0))</f>
        <v/>
      </c>
      <c r="Q787" s="13">
        <f>I787-J787</f>
        <v/>
      </c>
      <c r="R787" s="15">
        <f>IF(K787&gt;20, "BREACH", "OK")</f>
        <v/>
      </c>
    </row>
    <row r="788">
      <c r="A788" t="inlineStr">
        <is>
          <t>ORD01930</t>
        </is>
      </c>
      <c r="B788" t="inlineStr">
        <is>
          <t>CUST0002</t>
        </is>
      </c>
      <c r="C788" t="inlineStr">
        <is>
          <t>PROD141</t>
        </is>
      </c>
      <c r="D788" t="inlineStr">
        <is>
          <t>STORE039</t>
        </is>
      </c>
      <c r="E788" t="inlineStr">
        <is>
          <t>DP014</t>
        </is>
      </c>
      <c r="F788" t="inlineStr">
        <is>
          <t>2024-02-24 10:11:00</t>
        </is>
      </c>
      <c r="G788" t="inlineStr">
        <is>
          <t>2024-02-24 10:21:00</t>
        </is>
      </c>
      <c r="H788" s="14" t="n">
        <v>1</v>
      </c>
      <c r="I788" s="13" t="n">
        <v>452.96</v>
      </c>
      <c r="J788" s="13" t="n">
        <v>42.2</v>
      </c>
      <c r="K788" s="16" t="n">
        <v>10</v>
      </c>
      <c r="L788" t="inlineStr">
        <is>
          <t>Pending</t>
        </is>
      </c>
      <c r="M788" t="inlineStr">
        <is>
          <t>PAY03</t>
        </is>
      </c>
      <c r="N788" t="inlineStr">
        <is>
          <t>Morning</t>
        </is>
      </c>
      <c r="O788">
        <f>INDEX(Products_Catalog!$B$2:$B$151, MATCH(C788, Products_Catalog!$A$2:$A$151, 0))</f>
        <v/>
      </c>
      <c r="P788" s="13">
        <f>INDEX(Products_Catalog!$D$2:$D$151, MATCH(C788, Products_Catalog!$A$2:$A$151, 0))</f>
        <v/>
      </c>
      <c r="Q788" s="13">
        <f>I788-J788</f>
        <v/>
      </c>
      <c r="R788" s="15">
        <f>IF(K788&gt;20, "BREACH", "OK")</f>
        <v/>
      </c>
    </row>
    <row r="789">
      <c r="A789" t="inlineStr">
        <is>
          <t>ORD01932</t>
        </is>
      </c>
      <c r="B789" t="inlineStr">
        <is>
          <t>CUST0034</t>
        </is>
      </c>
      <c r="C789" t="inlineStr">
        <is>
          <t>PROD072</t>
        </is>
      </c>
      <c r="D789" t="inlineStr">
        <is>
          <t>STORE047</t>
        </is>
      </c>
      <c r="E789" t="inlineStr">
        <is>
          <t>DP002</t>
        </is>
      </c>
      <c r="F789" t="inlineStr">
        <is>
          <t>2024-11-27 14:27:00</t>
        </is>
      </c>
      <c r="G789" t="inlineStr">
        <is>
          <t>2024-11-27 14:47:00</t>
        </is>
      </c>
      <c r="H789" s="14" t="n">
        <v>7</v>
      </c>
      <c r="I789" s="13" t="n">
        <v>2791.95</v>
      </c>
      <c r="J789" s="13" t="n">
        <v>337.53</v>
      </c>
      <c r="K789" s="16" t="n">
        <v>20</v>
      </c>
      <c r="L789" t="inlineStr">
        <is>
          <t>Shipped</t>
        </is>
      </c>
      <c r="M789" t="inlineStr">
        <is>
          <t>PAY05</t>
        </is>
      </c>
      <c r="N789" t="inlineStr">
        <is>
          <t>Afternoon</t>
        </is>
      </c>
      <c r="O789">
        <f>INDEX(Products_Catalog!$B$2:$B$151, MATCH(C789, Products_Catalog!$A$2:$A$151, 0))</f>
        <v/>
      </c>
      <c r="P789" s="13">
        <f>INDEX(Products_Catalog!$D$2:$D$151, MATCH(C789, Products_Catalog!$A$2:$A$151, 0))</f>
        <v/>
      </c>
      <c r="Q789" s="13">
        <f>I789-J789</f>
        <v/>
      </c>
      <c r="R789" s="15">
        <f>IF(K789&gt;20, "BREACH", "OK")</f>
        <v/>
      </c>
    </row>
    <row r="790">
      <c r="A790" t="inlineStr">
        <is>
          <t>ORD01933</t>
        </is>
      </c>
      <c r="B790" t="inlineStr">
        <is>
          <t>CUST0004</t>
        </is>
      </c>
      <c r="C790" t="inlineStr">
        <is>
          <t>PROD037</t>
        </is>
      </c>
      <c r="D790" t="inlineStr">
        <is>
          <t>STORE023</t>
        </is>
      </c>
      <c r="E790" t="inlineStr">
        <is>
          <t>DP022</t>
        </is>
      </c>
      <c r="F790" t="inlineStr">
        <is>
          <t>2025-06-06 13:33:00</t>
        </is>
      </c>
      <c r="G790" t="inlineStr">
        <is>
          <t>2025-06-06 13:58:00</t>
        </is>
      </c>
      <c r="H790" s="14" t="n">
        <v>8</v>
      </c>
      <c r="I790" s="13" t="n">
        <v>3618.24</v>
      </c>
      <c r="J790" s="13" t="n">
        <v>442.57</v>
      </c>
      <c r="K790" s="16" t="n">
        <v>25</v>
      </c>
      <c r="L790" t="inlineStr">
        <is>
          <t>Shipped</t>
        </is>
      </c>
      <c r="M790" t="inlineStr">
        <is>
          <t>PAY03</t>
        </is>
      </c>
      <c r="N790" t="inlineStr">
        <is>
          <t>Afternoon</t>
        </is>
      </c>
      <c r="O790">
        <f>INDEX(Products_Catalog!$B$2:$B$151, MATCH(C790, Products_Catalog!$A$2:$A$151, 0))</f>
        <v/>
      </c>
      <c r="P790" s="13">
        <f>INDEX(Products_Catalog!$D$2:$D$151, MATCH(C790, Products_Catalog!$A$2:$A$151, 0))</f>
        <v/>
      </c>
      <c r="Q790" s="13">
        <f>I790-J790</f>
        <v/>
      </c>
      <c r="R790" s="15">
        <f>IF(K790&gt;20, "BREACH", "OK")</f>
        <v/>
      </c>
    </row>
    <row r="791">
      <c r="A791" t="inlineStr">
        <is>
          <t>ORD01934</t>
        </is>
      </c>
      <c r="B791" t="inlineStr">
        <is>
          <t>CUST0014</t>
        </is>
      </c>
      <c r="C791" t="inlineStr">
        <is>
          <t>PROD005</t>
        </is>
      </c>
      <c r="D791" t="inlineStr">
        <is>
          <t>STORE012</t>
        </is>
      </c>
      <c r="E791" t="inlineStr">
        <is>
          <t>DP048</t>
        </is>
      </c>
      <c r="F791" t="inlineStr">
        <is>
          <t>2024-05-03 10:12:00</t>
        </is>
      </c>
      <c r="G791" t="inlineStr">
        <is>
          <t>2024-05-03 10:42:00</t>
        </is>
      </c>
      <c r="H791" s="14" t="n">
        <v>10</v>
      </c>
      <c r="I791" s="13" t="n">
        <v>4631.2</v>
      </c>
      <c r="J791" s="13" t="n">
        <v>347.77</v>
      </c>
      <c r="K791" s="16" t="n">
        <v>30</v>
      </c>
      <c r="L791" t="inlineStr">
        <is>
          <t>Delivered</t>
        </is>
      </c>
      <c r="M791" t="inlineStr">
        <is>
          <t>PAY04</t>
        </is>
      </c>
      <c r="N791" t="inlineStr">
        <is>
          <t>Morning</t>
        </is>
      </c>
      <c r="O791">
        <f>INDEX(Products_Catalog!$B$2:$B$151, MATCH(C791, Products_Catalog!$A$2:$A$151, 0))</f>
        <v/>
      </c>
      <c r="P791" s="13">
        <f>INDEX(Products_Catalog!$D$2:$D$151, MATCH(C791, Products_Catalog!$A$2:$A$151, 0))</f>
        <v/>
      </c>
      <c r="Q791" s="13">
        <f>I791-J791</f>
        <v/>
      </c>
      <c r="R791" s="15">
        <f>IF(K791&gt;20, "BREACH", "OK")</f>
        <v/>
      </c>
    </row>
    <row r="792">
      <c r="A792" t="inlineStr">
        <is>
          <t>ORD01935</t>
        </is>
      </c>
      <c r="B792" t="inlineStr">
        <is>
          <t>CUST0005</t>
        </is>
      </c>
      <c r="C792" t="inlineStr">
        <is>
          <t>PROD103</t>
        </is>
      </c>
      <c r="D792" t="inlineStr">
        <is>
          <t>STORE046</t>
        </is>
      </c>
      <c r="E792" t="inlineStr">
        <is>
          <t>DP021</t>
        </is>
      </c>
      <c r="F792" t="inlineStr">
        <is>
          <t>2024-11-24 15:07:00</t>
        </is>
      </c>
      <c r="G792" t="inlineStr">
        <is>
          <t>2024-11-24 15:22:00</t>
        </is>
      </c>
      <c r="H792" s="14" t="n">
        <v>10</v>
      </c>
      <c r="I792" s="13" t="n">
        <v>852</v>
      </c>
      <c r="J792" s="13" t="n">
        <v>213.11</v>
      </c>
      <c r="K792" s="16" t="n">
        <v>15</v>
      </c>
      <c r="L792" t="inlineStr">
        <is>
          <t>Shipped</t>
        </is>
      </c>
      <c r="M792" t="inlineStr">
        <is>
          <t>PAY05</t>
        </is>
      </c>
      <c r="N792" t="inlineStr">
        <is>
          <t>Afternoon</t>
        </is>
      </c>
      <c r="O792">
        <f>INDEX(Products_Catalog!$B$2:$B$151, MATCH(C792, Products_Catalog!$A$2:$A$151, 0))</f>
        <v/>
      </c>
      <c r="P792" s="13">
        <f>INDEX(Products_Catalog!$D$2:$D$151, MATCH(C792, Products_Catalog!$A$2:$A$151, 0))</f>
        <v/>
      </c>
      <c r="Q792" s="13">
        <f>I792-J792</f>
        <v/>
      </c>
      <c r="R792" s="15">
        <f>IF(K792&gt;20, "BREACH", "OK")</f>
        <v/>
      </c>
    </row>
    <row r="793">
      <c r="A793" t="inlineStr">
        <is>
          <t>ORD01936</t>
        </is>
      </c>
      <c r="B793" t="inlineStr">
        <is>
          <t>CUST0017</t>
        </is>
      </c>
      <c r="C793" t="inlineStr">
        <is>
          <t>PROD009</t>
        </is>
      </c>
      <c r="D793" t="inlineStr">
        <is>
          <t>STORE021</t>
        </is>
      </c>
      <c r="E793" t="inlineStr">
        <is>
          <t>DP037</t>
        </is>
      </c>
      <c r="F793" t="inlineStr">
        <is>
          <t>2024-11-10 16:17:00</t>
        </is>
      </c>
      <c r="G793" t="inlineStr">
        <is>
          <t>2024-11-10 16:33:00</t>
        </is>
      </c>
      <c r="H793" s="14" t="n">
        <v>4</v>
      </c>
      <c r="I793" s="13" t="n">
        <v>1126.16</v>
      </c>
      <c r="J793" s="13" t="n">
        <v>131.57</v>
      </c>
      <c r="K793" s="16" t="n">
        <v>16</v>
      </c>
      <c r="L793" t="inlineStr">
        <is>
          <t>Shipped</t>
        </is>
      </c>
      <c r="M793" t="inlineStr">
        <is>
          <t>PAY03</t>
        </is>
      </c>
      <c r="N793" t="inlineStr">
        <is>
          <t>Afternoon</t>
        </is>
      </c>
      <c r="O793">
        <f>INDEX(Products_Catalog!$B$2:$B$151, MATCH(C793, Products_Catalog!$A$2:$A$151, 0))</f>
        <v/>
      </c>
      <c r="P793" s="13">
        <f>INDEX(Products_Catalog!$D$2:$D$151, MATCH(C793, Products_Catalog!$A$2:$A$151, 0))</f>
        <v/>
      </c>
      <c r="Q793" s="13">
        <f>I793-J793</f>
        <v/>
      </c>
      <c r="R793" s="15">
        <f>IF(K793&gt;20, "BREACH", "OK")</f>
        <v/>
      </c>
    </row>
    <row r="794">
      <c r="A794" t="inlineStr">
        <is>
          <t>ORD01937</t>
        </is>
      </c>
      <c r="B794" t="inlineStr">
        <is>
          <t>CUST0018</t>
        </is>
      </c>
      <c r="C794" t="inlineStr">
        <is>
          <t>PROD116</t>
        </is>
      </c>
      <c r="D794" t="inlineStr">
        <is>
          <t>STORE014</t>
        </is>
      </c>
      <c r="E794" t="inlineStr">
        <is>
          <t>DP001</t>
        </is>
      </c>
      <c r="F794" t="inlineStr">
        <is>
          <t>2025-01-15 13:49:00</t>
        </is>
      </c>
      <c r="G794" t="inlineStr">
        <is>
          <t>2025-01-15 14:06:00</t>
        </is>
      </c>
      <c r="H794" s="14" t="n">
        <v>4</v>
      </c>
      <c r="I794" s="13" t="n">
        <v>596.96</v>
      </c>
      <c r="J794" s="13" t="n">
        <v>77.05</v>
      </c>
      <c r="K794" s="16" t="n">
        <v>17</v>
      </c>
      <c r="L794" t="inlineStr">
        <is>
          <t>Cancelled</t>
        </is>
      </c>
      <c r="M794" t="inlineStr">
        <is>
          <t>PAY04</t>
        </is>
      </c>
      <c r="N794" t="inlineStr">
        <is>
          <t>Afternoon</t>
        </is>
      </c>
      <c r="O794">
        <f>INDEX(Products_Catalog!$B$2:$B$151, MATCH(C794, Products_Catalog!$A$2:$A$151, 0))</f>
        <v/>
      </c>
      <c r="P794" s="13">
        <f>INDEX(Products_Catalog!$D$2:$D$151, MATCH(C794, Products_Catalog!$A$2:$A$151, 0))</f>
        <v/>
      </c>
      <c r="Q794" s="13">
        <f>I794-J794</f>
        <v/>
      </c>
      <c r="R794" s="15">
        <f>IF(K794&gt;20, "BREACH", "OK")</f>
        <v/>
      </c>
    </row>
    <row r="795">
      <c r="A795" t="inlineStr">
        <is>
          <t>ORD01938</t>
        </is>
      </c>
      <c r="B795" t="inlineStr">
        <is>
          <t>CUST0012</t>
        </is>
      </c>
      <c r="C795" t="inlineStr">
        <is>
          <t>PROD033</t>
        </is>
      </c>
      <c r="D795" t="inlineStr">
        <is>
          <t>STORE009</t>
        </is>
      </c>
      <c r="E795" t="inlineStr">
        <is>
          <t>DP003</t>
        </is>
      </c>
      <c r="F795" t="inlineStr">
        <is>
          <t>2024-01-24 12:29:00</t>
        </is>
      </c>
      <c r="G795" t="inlineStr">
        <is>
          <t>2024-01-24 12:47:00</t>
        </is>
      </c>
      <c r="H795" s="14" t="n">
        <v>10</v>
      </c>
      <c r="I795" s="13" t="n">
        <v>3928.2</v>
      </c>
      <c r="J795" s="13" t="n">
        <v>411.53</v>
      </c>
      <c r="K795" s="16" t="n">
        <v>18</v>
      </c>
      <c r="L795" t="inlineStr">
        <is>
          <t>Returned</t>
        </is>
      </c>
      <c r="M795" t="inlineStr">
        <is>
          <t>PAY05</t>
        </is>
      </c>
      <c r="N795" t="inlineStr">
        <is>
          <t>Afternoon</t>
        </is>
      </c>
      <c r="O795">
        <f>INDEX(Products_Catalog!$B$2:$B$151, MATCH(C795, Products_Catalog!$A$2:$A$151, 0))</f>
        <v/>
      </c>
      <c r="P795" s="13">
        <f>INDEX(Products_Catalog!$D$2:$D$151, MATCH(C795, Products_Catalog!$A$2:$A$151, 0))</f>
        <v/>
      </c>
      <c r="Q795" s="13">
        <f>I795-J795</f>
        <v/>
      </c>
      <c r="R795" s="15">
        <f>IF(K795&gt;20, "BREACH", "OK")</f>
        <v/>
      </c>
    </row>
    <row r="796">
      <c r="A796" t="inlineStr">
        <is>
          <t>ORD01939</t>
        </is>
      </c>
      <c r="B796" t="inlineStr">
        <is>
          <t>CUST0042</t>
        </is>
      </c>
      <c r="C796" t="inlineStr">
        <is>
          <t>PROD065</t>
        </is>
      </c>
      <c r="D796" t="inlineStr">
        <is>
          <t>STORE037</t>
        </is>
      </c>
      <c r="E796" t="inlineStr">
        <is>
          <t>DP008</t>
        </is>
      </c>
      <c r="F796" t="inlineStr">
        <is>
          <t>2025-02-04 18:44:00</t>
        </is>
      </c>
      <c r="G796" t="inlineStr">
        <is>
          <t>2025-02-04 19:03:00</t>
        </is>
      </c>
      <c r="H796" s="14" t="n">
        <v>1</v>
      </c>
      <c r="I796" s="13" t="n">
        <v>129.08</v>
      </c>
      <c r="J796" s="13" t="n">
        <v>15.19</v>
      </c>
      <c r="K796" s="16" t="n">
        <v>19</v>
      </c>
      <c r="L796" t="inlineStr">
        <is>
          <t>Cancelled</t>
        </is>
      </c>
      <c r="M796" t="inlineStr">
        <is>
          <t>PAY04</t>
        </is>
      </c>
      <c r="N796" t="inlineStr">
        <is>
          <t>Evening</t>
        </is>
      </c>
      <c r="O796">
        <f>INDEX(Products_Catalog!$B$2:$B$151, MATCH(C796, Products_Catalog!$A$2:$A$151, 0))</f>
        <v/>
      </c>
      <c r="P796" s="13">
        <f>INDEX(Products_Catalog!$D$2:$D$151, MATCH(C796, Products_Catalog!$A$2:$A$151, 0))</f>
        <v/>
      </c>
      <c r="Q796" s="13">
        <f>I796-J796</f>
        <v/>
      </c>
      <c r="R796" s="15">
        <f>IF(K796&gt;20, "BREACH", "OK")</f>
        <v/>
      </c>
    </row>
    <row r="797">
      <c r="A797" t="inlineStr">
        <is>
          <t>ORD01940</t>
        </is>
      </c>
      <c r="B797" t="inlineStr">
        <is>
          <t>CUST0015</t>
        </is>
      </c>
      <c r="C797" t="inlineStr">
        <is>
          <t>PROD056</t>
        </is>
      </c>
      <c r="D797" t="inlineStr">
        <is>
          <t>STORE047</t>
        </is>
      </c>
      <c r="E797" t="inlineStr">
        <is>
          <t>DP049</t>
        </is>
      </c>
      <c r="F797" t="inlineStr">
        <is>
          <t>2025-04-13 14:18:00</t>
        </is>
      </c>
      <c r="G797" t="inlineStr">
        <is>
          <t>2025-04-13 14:38:00</t>
        </is>
      </c>
      <c r="H797" s="14" t="n">
        <v>2</v>
      </c>
      <c r="I797" s="13" t="n">
        <v>155.88</v>
      </c>
      <c r="J797" s="13" t="n">
        <v>10.37</v>
      </c>
      <c r="K797" s="16" t="n">
        <v>20</v>
      </c>
      <c r="L797" t="inlineStr">
        <is>
          <t>Delivered</t>
        </is>
      </c>
      <c r="M797" t="inlineStr">
        <is>
          <t>PAY05</t>
        </is>
      </c>
      <c r="N797" t="inlineStr">
        <is>
          <t>Afternoon</t>
        </is>
      </c>
      <c r="O797">
        <f>INDEX(Products_Catalog!$B$2:$B$151, MATCH(C797, Products_Catalog!$A$2:$A$151, 0))</f>
        <v/>
      </c>
      <c r="P797" s="13">
        <f>INDEX(Products_Catalog!$D$2:$D$151, MATCH(C797, Products_Catalog!$A$2:$A$151, 0))</f>
        <v/>
      </c>
      <c r="Q797" s="13">
        <f>I797-J797</f>
        <v/>
      </c>
      <c r="R797" s="15">
        <f>IF(K797&gt;20, "BREACH", "OK")</f>
        <v/>
      </c>
    </row>
    <row r="798">
      <c r="A798" t="inlineStr">
        <is>
          <t>ORD01941</t>
        </is>
      </c>
      <c r="B798" t="inlineStr">
        <is>
          <t>CUST0040</t>
        </is>
      </c>
      <c r="C798" t="inlineStr">
        <is>
          <t>PROD124</t>
        </is>
      </c>
      <c r="D798" t="inlineStr">
        <is>
          <t>STORE020</t>
        </is>
      </c>
      <c r="E798" t="inlineStr">
        <is>
          <t>DP039</t>
        </is>
      </c>
      <c r="F798" t="inlineStr">
        <is>
          <t>2025-02-21 11:46:00</t>
        </is>
      </c>
      <c r="G798" t="inlineStr">
        <is>
          <t>2025-02-21 12:07:00</t>
        </is>
      </c>
      <c r="H798" s="14" t="n">
        <v>10</v>
      </c>
      <c r="I798" s="13" t="n">
        <v>1494.1</v>
      </c>
      <c r="J798" s="13" t="n">
        <v>321.55</v>
      </c>
      <c r="K798" s="16" t="n">
        <v>21</v>
      </c>
      <c r="L798" t="inlineStr">
        <is>
          <t>Pending</t>
        </is>
      </c>
      <c r="M798" t="inlineStr">
        <is>
          <t>PAY03</t>
        </is>
      </c>
      <c r="N798" t="inlineStr">
        <is>
          <t>Morning</t>
        </is>
      </c>
      <c r="O798">
        <f>INDEX(Products_Catalog!$B$2:$B$151, MATCH(C798, Products_Catalog!$A$2:$A$151, 0))</f>
        <v/>
      </c>
      <c r="P798" s="13">
        <f>INDEX(Products_Catalog!$D$2:$D$151, MATCH(C798, Products_Catalog!$A$2:$A$151, 0))</f>
        <v/>
      </c>
      <c r="Q798" s="13">
        <f>I798-J798</f>
        <v/>
      </c>
      <c r="R798" s="15">
        <f>IF(K798&gt;20, "BREACH", "OK")</f>
        <v/>
      </c>
    </row>
    <row r="799">
      <c r="A799" t="inlineStr">
        <is>
          <t>ORD01942</t>
        </is>
      </c>
      <c r="B799" t="inlineStr">
        <is>
          <t>CUST0046</t>
        </is>
      </c>
      <c r="C799" t="inlineStr">
        <is>
          <t>PROD062</t>
        </is>
      </c>
      <c r="D799" t="inlineStr">
        <is>
          <t>STORE003</t>
        </is>
      </c>
      <c r="E799" t="inlineStr">
        <is>
          <t>DP044</t>
        </is>
      </c>
      <c r="F799" t="inlineStr">
        <is>
          <t>2024-08-18 18:05:00</t>
        </is>
      </c>
      <c r="G799" t="inlineStr">
        <is>
          <t>2024-08-18 18:27:00</t>
        </is>
      </c>
      <c r="H799" s="14" t="n">
        <v>9</v>
      </c>
      <c r="I799" s="13" t="n">
        <v>892.98</v>
      </c>
      <c r="J799" s="13" t="n">
        <v>55.64</v>
      </c>
      <c r="K799" s="16" t="n">
        <v>22</v>
      </c>
      <c r="L799" t="inlineStr">
        <is>
          <t>Cancelled</t>
        </is>
      </c>
      <c r="M799" t="inlineStr">
        <is>
          <t>PAY05</t>
        </is>
      </c>
      <c r="N799" t="inlineStr">
        <is>
          <t>Evening</t>
        </is>
      </c>
      <c r="O799">
        <f>INDEX(Products_Catalog!$B$2:$B$151, MATCH(C799, Products_Catalog!$A$2:$A$151, 0))</f>
        <v/>
      </c>
      <c r="P799" s="13">
        <f>INDEX(Products_Catalog!$D$2:$D$151, MATCH(C799, Products_Catalog!$A$2:$A$151, 0))</f>
        <v/>
      </c>
      <c r="Q799" s="13">
        <f>I799-J799</f>
        <v/>
      </c>
      <c r="R799" s="15">
        <f>IF(K799&gt;20, "BREACH", "OK")</f>
        <v/>
      </c>
    </row>
    <row r="800">
      <c r="A800" t="inlineStr">
        <is>
          <t>ORD01943</t>
        </is>
      </c>
      <c r="B800" t="inlineStr">
        <is>
          <t>CUST0010</t>
        </is>
      </c>
      <c r="C800" t="inlineStr">
        <is>
          <t>PROD125</t>
        </is>
      </c>
      <c r="D800" t="inlineStr">
        <is>
          <t>STORE028</t>
        </is>
      </c>
      <c r="E800" t="inlineStr">
        <is>
          <t>DP011</t>
        </is>
      </c>
      <c r="F800" t="inlineStr">
        <is>
          <t>2024-01-29 18:26:00</t>
        </is>
      </c>
      <c r="G800" t="inlineStr">
        <is>
          <t>2024-01-29 18:49:00</t>
        </is>
      </c>
      <c r="H800" s="14" t="n">
        <v>10</v>
      </c>
      <c r="I800" s="13" t="n">
        <v>1178.4</v>
      </c>
      <c r="J800" s="13" t="n">
        <v>192.13</v>
      </c>
      <c r="K800" s="16" t="n">
        <v>23</v>
      </c>
      <c r="L800" t="inlineStr">
        <is>
          <t>Shipped</t>
        </is>
      </c>
      <c r="M800" t="inlineStr">
        <is>
          <t>PAY03</t>
        </is>
      </c>
      <c r="N800" t="inlineStr">
        <is>
          <t>Evening</t>
        </is>
      </c>
      <c r="O800">
        <f>INDEX(Products_Catalog!$B$2:$B$151, MATCH(C800, Products_Catalog!$A$2:$A$151, 0))</f>
        <v/>
      </c>
      <c r="P800" s="13">
        <f>INDEX(Products_Catalog!$D$2:$D$151, MATCH(C800, Products_Catalog!$A$2:$A$151, 0))</f>
        <v/>
      </c>
      <c r="Q800" s="13">
        <f>I800-J800</f>
        <v/>
      </c>
      <c r="R800" s="15">
        <f>IF(K800&gt;20, "BREACH", "OK")</f>
        <v/>
      </c>
    </row>
    <row r="801">
      <c r="A801" t="inlineStr">
        <is>
          <t>ORD01944</t>
        </is>
      </c>
      <c r="B801" t="inlineStr">
        <is>
          <t>CUST0004</t>
        </is>
      </c>
      <c r="C801" t="inlineStr">
        <is>
          <t>PROD113</t>
        </is>
      </c>
      <c r="D801" t="inlineStr">
        <is>
          <t>STORE017</t>
        </is>
      </c>
      <c r="E801" t="inlineStr">
        <is>
          <t>DP017</t>
        </is>
      </c>
      <c r="F801" t="inlineStr">
        <is>
          <t>2025-06-22 16:52:00</t>
        </is>
      </c>
      <c r="G801" t="inlineStr">
        <is>
          <t>2025-06-22 17:16:00</t>
        </is>
      </c>
      <c r="H801" s="14" t="n">
        <v>8</v>
      </c>
      <c r="I801" s="13" t="n">
        <v>1901.36</v>
      </c>
      <c r="J801" s="13" t="n">
        <v>103.06</v>
      </c>
      <c r="K801" s="16" t="n">
        <v>24</v>
      </c>
      <c r="L801" t="inlineStr">
        <is>
          <t>Returned</t>
        </is>
      </c>
      <c r="M801" t="inlineStr">
        <is>
          <t>PAY01</t>
        </is>
      </c>
      <c r="N801" t="inlineStr">
        <is>
          <t>Afternoon</t>
        </is>
      </c>
      <c r="O801">
        <f>INDEX(Products_Catalog!$B$2:$B$151, MATCH(C801, Products_Catalog!$A$2:$A$151, 0))</f>
        <v/>
      </c>
      <c r="P801" s="13">
        <f>INDEX(Products_Catalog!$D$2:$D$151, MATCH(C801, Products_Catalog!$A$2:$A$151, 0))</f>
        <v/>
      </c>
      <c r="Q801" s="13">
        <f>I801-J801</f>
        <v/>
      </c>
      <c r="R801" s="15">
        <f>IF(K801&gt;20, "BREACH", "OK")</f>
        <v/>
      </c>
    </row>
    <row r="802">
      <c r="A802" t="inlineStr">
        <is>
          <t>ORD01945</t>
        </is>
      </c>
      <c r="B802" t="inlineStr">
        <is>
          <t>CUST0007</t>
        </is>
      </c>
      <c r="C802" t="inlineStr">
        <is>
          <t>PROD093</t>
        </is>
      </c>
      <c r="D802" t="inlineStr">
        <is>
          <t>STORE032</t>
        </is>
      </c>
      <c r="E802" t="inlineStr">
        <is>
          <t>DP035</t>
        </is>
      </c>
      <c r="F802" t="inlineStr">
        <is>
          <t>2024-02-01 16:28:00</t>
        </is>
      </c>
      <c r="G802" t="inlineStr">
        <is>
          <t>2024-02-01 16:53:00</t>
        </is>
      </c>
      <c r="H802" s="14" t="n">
        <v>4</v>
      </c>
      <c r="I802" s="13" t="n">
        <v>676.6</v>
      </c>
      <c r="J802" s="13" t="n">
        <v>84.15000000000001</v>
      </c>
      <c r="K802" s="16" t="n">
        <v>25</v>
      </c>
      <c r="L802" t="inlineStr">
        <is>
          <t>Returned</t>
        </is>
      </c>
      <c r="M802" t="inlineStr">
        <is>
          <t>PAY02</t>
        </is>
      </c>
      <c r="N802" t="inlineStr">
        <is>
          <t>Afternoon</t>
        </is>
      </c>
      <c r="O802">
        <f>INDEX(Products_Catalog!$B$2:$B$151, MATCH(C802, Products_Catalog!$A$2:$A$151, 0))</f>
        <v/>
      </c>
      <c r="P802" s="13">
        <f>INDEX(Products_Catalog!$D$2:$D$151, MATCH(C802, Products_Catalog!$A$2:$A$151, 0))</f>
        <v/>
      </c>
      <c r="Q802" s="13">
        <f>I802-J802</f>
        <v/>
      </c>
      <c r="R802" s="15">
        <f>IF(K802&gt;20, "BREACH", "OK")</f>
        <v/>
      </c>
    </row>
    <row r="803">
      <c r="A803" t="inlineStr">
        <is>
          <t>ORD01946</t>
        </is>
      </c>
      <c r="B803" t="inlineStr">
        <is>
          <t>CUST0005</t>
        </is>
      </c>
      <c r="C803" t="inlineStr">
        <is>
          <t>PROD012</t>
        </is>
      </c>
      <c r="D803" t="inlineStr">
        <is>
          <t>STORE029</t>
        </is>
      </c>
      <c r="E803" t="inlineStr">
        <is>
          <t>DP028</t>
        </is>
      </c>
      <c r="F803" t="inlineStr">
        <is>
          <t>2024-10-25 07:52:00</t>
        </is>
      </c>
      <c r="G803" t="inlineStr">
        <is>
          <t>2024-10-25 08:18:00</t>
        </is>
      </c>
      <c r="H803" s="14" t="n">
        <v>3</v>
      </c>
      <c r="I803" s="13" t="n">
        <v>1175.82</v>
      </c>
      <c r="J803" s="13" t="n">
        <v>60.35</v>
      </c>
      <c r="K803" s="16" t="n">
        <v>26</v>
      </c>
      <c r="L803" t="inlineStr">
        <is>
          <t>Pending</t>
        </is>
      </c>
      <c r="M803" t="inlineStr">
        <is>
          <t>PAY03</t>
        </is>
      </c>
      <c r="N803" t="inlineStr">
        <is>
          <t>Morning</t>
        </is>
      </c>
      <c r="O803">
        <f>INDEX(Products_Catalog!$B$2:$B$151, MATCH(C803, Products_Catalog!$A$2:$A$151, 0))</f>
        <v/>
      </c>
      <c r="P803" s="13">
        <f>INDEX(Products_Catalog!$D$2:$D$151, MATCH(C803, Products_Catalog!$A$2:$A$151, 0))</f>
        <v/>
      </c>
      <c r="Q803" s="13">
        <f>I803-J803</f>
        <v/>
      </c>
      <c r="R803" s="15">
        <f>IF(K803&gt;20, "BREACH", "OK")</f>
        <v/>
      </c>
    </row>
    <row r="804">
      <c r="A804" t="inlineStr">
        <is>
          <t>ORD01947</t>
        </is>
      </c>
      <c r="B804" t="inlineStr">
        <is>
          <t>CUST0021</t>
        </is>
      </c>
      <c r="C804" t="inlineStr">
        <is>
          <t>PROD150</t>
        </is>
      </c>
      <c r="D804" t="inlineStr">
        <is>
          <t>STORE002</t>
        </is>
      </c>
      <c r="E804" t="inlineStr">
        <is>
          <t>DP017</t>
        </is>
      </c>
      <c r="F804" t="inlineStr">
        <is>
          <t>2025-02-14 16:57:00</t>
        </is>
      </c>
      <c r="G804" t="inlineStr">
        <is>
          <t>2025-02-14 17:24:00</t>
        </is>
      </c>
      <c r="H804" s="14" t="n">
        <v>10</v>
      </c>
      <c r="I804" s="13" t="n">
        <v>4425.7</v>
      </c>
      <c r="J804" s="13" t="n">
        <v>541.51</v>
      </c>
      <c r="K804" s="16" t="n">
        <v>27</v>
      </c>
      <c r="L804" t="inlineStr">
        <is>
          <t>Returned</t>
        </is>
      </c>
      <c r="M804" t="inlineStr">
        <is>
          <t>PAY02</t>
        </is>
      </c>
      <c r="N804" t="inlineStr">
        <is>
          <t>Afternoon</t>
        </is>
      </c>
      <c r="O804">
        <f>INDEX(Products_Catalog!$B$2:$B$151, MATCH(C804, Products_Catalog!$A$2:$A$151, 0))</f>
        <v/>
      </c>
      <c r="P804" s="13">
        <f>INDEX(Products_Catalog!$D$2:$D$151, MATCH(C804, Products_Catalog!$A$2:$A$151, 0))</f>
        <v/>
      </c>
      <c r="Q804" s="13">
        <f>I804-J804</f>
        <v/>
      </c>
      <c r="R804" s="15">
        <f>IF(K804&gt;20, "BREACH", "OK")</f>
        <v/>
      </c>
    </row>
    <row r="805">
      <c r="A805" t="inlineStr">
        <is>
          <t>ORD01948</t>
        </is>
      </c>
      <c r="B805" t="inlineStr">
        <is>
          <t>CUST0008</t>
        </is>
      </c>
      <c r="C805" t="inlineStr">
        <is>
          <t>PROD082</t>
        </is>
      </c>
      <c r="D805" t="inlineStr">
        <is>
          <t>STORE025</t>
        </is>
      </c>
      <c r="E805" t="inlineStr">
        <is>
          <t>DP033</t>
        </is>
      </c>
      <c r="F805" t="inlineStr">
        <is>
          <t>2024-08-15 09:10:00</t>
        </is>
      </c>
      <c r="G805" t="inlineStr">
        <is>
          <t>2024-08-15 09:38:00</t>
        </is>
      </c>
      <c r="H805" s="14" t="n">
        <v>5</v>
      </c>
      <c r="I805" s="13" t="n">
        <v>2095.6</v>
      </c>
      <c r="J805" s="13" t="n">
        <v>548.25</v>
      </c>
      <c r="K805" s="16" t="n">
        <v>28</v>
      </c>
      <c r="L805" t="inlineStr">
        <is>
          <t>Delivered</t>
        </is>
      </c>
      <c r="M805" t="inlineStr">
        <is>
          <t>PAY04</t>
        </is>
      </c>
      <c r="N805" t="inlineStr">
        <is>
          <t>Morning</t>
        </is>
      </c>
      <c r="O805">
        <f>INDEX(Products_Catalog!$B$2:$B$151, MATCH(C805, Products_Catalog!$A$2:$A$151, 0))</f>
        <v/>
      </c>
      <c r="P805" s="13">
        <f>INDEX(Products_Catalog!$D$2:$D$151, MATCH(C805, Products_Catalog!$A$2:$A$151, 0))</f>
        <v/>
      </c>
      <c r="Q805" s="13">
        <f>I805-J805</f>
        <v/>
      </c>
      <c r="R805" s="15">
        <f>IF(K805&gt;20, "BREACH", "OK")</f>
        <v/>
      </c>
    </row>
    <row r="806">
      <c r="A806" t="inlineStr">
        <is>
          <t>ORD01949</t>
        </is>
      </c>
      <c r="B806" t="inlineStr">
        <is>
          <t>CUST0001</t>
        </is>
      </c>
      <c r="C806" t="inlineStr">
        <is>
          <t>PROD074</t>
        </is>
      </c>
      <c r="D806" t="inlineStr">
        <is>
          <t>STORE030</t>
        </is>
      </c>
      <c r="E806" t="inlineStr">
        <is>
          <t>DP039</t>
        </is>
      </c>
      <c r="F806" t="inlineStr">
        <is>
          <t>2024-01-30 09:32:00</t>
        </is>
      </c>
      <c r="G806" t="inlineStr">
        <is>
          <t>2024-01-30 10:01:00</t>
        </is>
      </c>
      <c r="H806" s="14" t="n">
        <v>3</v>
      </c>
      <c r="I806" s="13" t="n">
        <v>1419.21</v>
      </c>
      <c r="J806" s="13" t="n">
        <v>213.25</v>
      </c>
      <c r="K806" s="16" t="n">
        <v>29</v>
      </c>
      <c r="L806" t="inlineStr">
        <is>
          <t>Returned</t>
        </is>
      </c>
      <c r="M806" t="inlineStr">
        <is>
          <t>PAY04</t>
        </is>
      </c>
      <c r="N806" t="inlineStr">
        <is>
          <t>Morning</t>
        </is>
      </c>
      <c r="O806">
        <f>INDEX(Products_Catalog!$B$2:$B$151, MATCH(C806, Products_Catalog!$A$2:$A$151, 0))</f>
        <v/>
      </c>
      <c r="P806" s="13">
        <f>INDEX(Products_Catalog!$D$2:$D$151, MATCH(C806, Products_Catalog!$A$2:$A$151, 0))</f>
        <v/>
      </c>
      <c r="Q806" s="13">
        <f>I806-J806</f>
        <v/>
      </c>
      <c r="R806" s="15">
        <f>IF(K806&gt;20, "BREACH", "OK")</f>
        <v/>
      </c>
    </row>
    <row r="807">
      <c r="A807" t="inlineStr">
        <is>
          <t>ORD01951</t>
        </is>
      </c>
      <c r="B807" t="inlineStr">
        <is>
          <t>CUST0031</t>
        </is>
      </c>
      <c r="C807" t="inlineStr">
        <is>
          <t>PROD061</t>
        </is>
      </c>
      <c r="D807" t="inlineStr">
        <is>
          <t>STORE022</t>
        </is>
      </c>
      <c r="E807" t="inlineStr">
        <is>
          <t>DP048</t>
        </is>
      </c>
      <c r="F807" t="inlineStr">
        <is>
          <t>2024-12-10 19:59:00</t>
        </is>
      </c>
      <c r="G807" t="inlineStr">
        <is>
          <t>2024-12-10 20:19:00</t>
        </is>
      </c>
      <c r="H807" s="14" t="n">
        <v>4</v>
      </c>
      <c r="I807" s="13" t="n">
        <v>1763.96</v>
      </c>
      <c r="J807" s="13" t="n">
        <v>150.43</v>
      </c>
      <c r="K807" s="16" t="n">
        <v>20</v>
      </c>
      <c r="L807" t="inlineStr">
        <is>
          <t>Delivered</t>
        </is>
      </c>
      <c r="M807" t="inlineStr">
        <is>
          <t>PAY01</t>
        </is>
      </c>
      <c r="N807" t="inlineStr">
        <is>
          <t>Evening</t>
        </is>
      </c>
      <c r="O807">
        <f>INDEX(Products_Catalog!$B$2:$B$151, MATCH(C807, Products_Catalog!$A$2:$A$151, 0))</f>
        <v/>
      </c>
      <c r="P807" s="13">
        <f>INDEX(Products_Catalog!$D$2:$D$151, MATCH(C807, Products_Catalog!$A$2:$A$151, 0))</f>
        <v/>
      </c>
      <c r="Q807" s="13">
        <f>I807-J807</f>
        <v/>
      </c>
      <c r="R807" s="15">
        <f>IF(K807&gt;20, "BREACH", "OK")</f>
        <v/>
      </c>
    </row>
    <row r="808">
      <c r="A808" t="inlineStr">
        <is>
          <t>ORD01952</t>
        </is>
      </c>
      <c r="B808" t="inlineStr">
        <is>
          <t>CUST0042</t>
        </is>
      </c>
      <c r="C808" t="inlineStr">
        <is>
          <t>PROD119</t>
        </is>
      </c>
      <c r="D808" t="inlineStr">
        <is>
          <t>STORE005</t>
        </is>
      </c>
      <c r="E808" t="inlineStr">
        <is>
          <t>DP016</t>
        </is>
      </c>
      <c r="F808" t="inlineStr">
        <is>
          <t>2024-10-23 16:40:00</t>
        </is>
      </c>
      <c r="G808" t="inlineStr">
        <is>
          <t>2024-10-23 17:02:00</t>
        </is>
      </c>
      <c r="H808" s="14" t="n">
        <v>5</v>
      </c>
      <c r="I808" s="13" t="n">
        <v>802.85</v>
      </c>
      <c r="J808" s="13" t="n">
        <v>217.15</v>
      </c>
      <c r="K808" s="16" t="n">
        <v>22</v>
      </c>
      <c r="L808" t="inlineStr">
        <is>
          <t>Returned</t>
        </is>
      </c>
      <c r="M808" t="inlineStr">
        <is>
          <t>PAY04</t>
        </is>
      </c>
      <c r="N808" t="inlineStr">
        <is>
          <t>Afternoon</t>
        </is>
      </c>
      <c r="O808">
        <f>INDEX(Products_Catalog!$B$2:$B$151, MATCH(C808, Products_Catalog!$A$2:$A$151, 0))</f>
        <v/>
      </c>
      <c r="P808" s="13">
        <f>INDEX(Products_Catalog!$D$2:$D$151, MATCH(C808, Products_Catalog!$A$2:$A$151, 0))</f>
        <v/>
      </c>
      <c r="Q808" s="13">
        <f>I808-J808</f>
        <v/>
      </c>
      <c r="R808" s="15">
        <f>IF(K808&gt;20, "BREACH", "OK")</f>
        <v/>
      </c>
    </row>
    <row r="809">
      <c r="A809" t="inlineStr">
        <is>
          <t>ORD01953</t>
        </is>
      </c>
      <c r="B809" t="inlineStr">
        <is>
          <t>CUST0022</t>
        </is>
      </c>
      <c r="C809" t="inlineStr">
        <is>
          <t>PROD013</t>
        </is>
      </c>
      <c r="D809" t="inlineStr">
        <is>
          <t>STORE044</t>
        </is>
      </c>
      <c r="E809" t="inlineStr">
        <is>
          <t>DP019</t>
        </is>
      </c>
      <c r="F809" t="inlineStr">
        <is>
          <t>2024-09-06 15:12:00</t>
        </is>
      </c>
      <c r="G809" t="inlineStr">
        <is>
          <t>2024-09-06 15:35:00</t>
        </is>
      </c>
      <c r="H809" s="14" t="n">
        <v>10</v>
      </c>
      <c r="I809" s="13" t="n">
        <v>4890.9</v>
      </c>
      <c r="J809" s="13" t="n">
        <v>1265.27</v>
      </c>
      <c r="K809" s="16" t="n">
        <v>23</v>
      </c>
      <c r="L809" t="inlineStr">
        <is>
          <t>Shipped</t>
        </is>
      </c>
      <c r="M809" t="inlineStr">
        <is>
          <t>PAY03</t>
        </is>
      </c>
      <c r="N809" t="inlineStr">
        <is>
          <t>Afternoon</t>
        </is>
      </c>
      <c r="O809">
        <f>INDEX(Products_Catalog!$B$2:$B$151, MATCH(C809, Products_Catalog!$A$2:$A$151, 0))</f>
        <v/>
      </c>
      <c r="P809" s="13">
        <f>INDEX(Products_Catalog!$D$2:$D$151, MATCH(C809, Products_Catalog!$A$2:$A$151, 0))</f>
        <v/>
      </c>
      <c r="Q809" s="13">
        <f>I809-J809</f>
        <v/>
      </c>
      <c r="R809" s="15">
        <f>IF(K809&gt;20, "BREACH", "OK")</f>
        <v/>
      </c>
    </row>
    <row r="810">
      <c r="A810" t="inlineStr">
        <is>
          <t>ORD01955</t>
        </is>
      </c>
      <c r="B810" t="inlineStr">
        <is>
          <t>CUST0016</t>
        </is>
      </c>
      <c r="C810" t="inlineStr">
        <is>
          <t>PROD046</t>
        </is>
      </c>
      <c r="D810" t="inlineStr">
        <is>
          <t>STORE024</t>
        </is>
      </c>
      <c r="E810" t="inlineStr">
        <is>
          <t>DP035</t>
        </is>
      </c>
      <c r="F810" t="inlineStr">
        <is>
          <t>2024-09-21 19:12:00</t>
        </is>
      </c>
      <c r="G810" t="inlineStr">
        <is>
          <t>2024-09-21 19:37:00</t>
        </is>
      </c>
      <c r="H810" s="14" t="n">
        <v>8</v>
      </c>
      <c r="I810" s="13" t="n">
        <v>419.92</v>
      </c>
      <c r="J810" s="13" t="n">
        <v>73.44</v>
      </c>
      <c r="K810" s="16" t="n">
        <v>25</v>
      </c>
      <c r="L810" t="inlineStr">
        <is>
          <t>Pending</t>
        </is>
      </c>
      <c r="M810" t="inlineStr">
        <is>
          <t>PAY01</t>
        </is>
      </c>
      <c r="N810" t="inlineStr">
        <is>
          <t>Evening</t>
        </is>
      </c>
      <c r="O810">
        <f>INDEX(Products_Catalog!$B$2:$B$151, MATCH(C810, Products_Catalog!$A$2:$A$151, 0))</f>
        <v/>
      </c>
      <c r="P810" s="13">
        <f>INDEX(Products_Catalog!$D$2:$D$151, MATCH(C810, Products_Catalog!$A$2:$A$151, 0))</f>
        <v/>
      </c>
      <c r="Q810" s="13">
        <f>I810-J810</f>
        <v/>
      </c>
      <c r="R810" s="15">
        <f>IF(K810&gt;20, "BREACH", "OK")</f>
        <v/>
      </c>
    </row>
    <row r="811">
      <c r="A811" t="inlineStr">
        <is>
          <t>ORD01956</t>
        </is>
      </c>
      <c r="B811" t="inlineStr">
        <is>
          <t>CUST0046</t>
        </is>
      </c>
      <c r="C811" t="inlineStr">
        <is>
          <t>PROD035</t>
        </is>
      </c>
      <c r="D811" t="inlineStr">
        <is>
          <t>STORE050</t>
        </is>
      </c>
      <c r="E811" t="inlineStr">
        <is>
          <t>DP028</t>
        </is>
      </c>
      <c r="F811" t="inlineStr">
        <is>
          <t>2025-02-04 07:53:00</t>
        </is>
      </c>
      <c r="G811" t="inlineStr">
        <is>
          <t>2025-02-04 08:19:00</t>
        </is>
      </c>
      <c r="H811" s="14" t="n">
        <v>6</v>
      </c>
      <c r="I811" s="13" t="n">
        <v>1856.7</v>
      </c>
      <c r="J811" s="13" t="n">
        <v>240.92</v>
      </c>
      <c r="K811" s="16" t="n">
        <v>26</v>
      </c>
      <c r="L811" t="inlineStr">
        <is>
          <t>Returned</t>
        </is>
      </c>
      <c r="M811" t="inlineStr">
        <is>
          <t>PAY05</t>
        </is>
      </c>
      <c r="N811" t="inlineStr">
        <is>
          <t>Morning</t>
        </is>
      </c>
      <c r="O811">
        <f>INDEX(Products_Catalog!$B$2:$B$151, MATCH(C811, Products_Catalog!$A$2:$A$151, 0))</f>
        <v/>
      </c>
      <c r="P811" s="13">
        <f>INDEX(Products_Catalog!$D$2:$D$151, MATCH(C811, Products_Catalog!$A$2:$A$151, 0))</f>
        <v/>
      </c>
      <c r="Q811" s="13">
        <f>I811-J811</f>
        <v/>
      </c>
      <c r="R811" s="15">
        <f>IF(K811&gt;20, "BREACH", "OK")</f>
        <v/>
      </c>
    </row>
    <row r="812">
      <c r="A812" t="inlineStr">
        <is>
          <t>ORD01957</t>
        </is>
      </c>
      <c r="B812" t="inlineStr">
        <is>
          <t>CUST0003</t>
        </is>
      </c>
      <c r="C812" t="inlineStr">
        <is>
          <t>PROD081</t>
        </is>
      </c>
      <c r="D812" t="inlineStr">
        <is>
          <t>STORE050</t>
        </is>
      </c>
      <c r="E812" t="inlineStr">
        <is>
          <t>DP003</t>
        </is>
      </c>
      <c r="F812" t="inlineStr">
        <is>
          <t>2025-03-03 10:43:00</t>
        </is>
      </c>
      <c r="G812" t="inlineStr">
        <is>
          <t>2025-03-03 11:10:00</t>
        </is>
      </c>
      <c r="H812" s="14" t="n">
        <v>8</v>
      </c>
      <c r="I812" s="13" t="n">
        <v>3111.44</v>
      </c>
      <c r="J812" s="13" t="n">
        <v>401.13</v>
      </c>
      <c r="K812" s="16" t="n">
        <v>27</v>
      </c>
      <c r="L812" t="inlineStr">
        <is>
          <t>Cancelled</t>
        </is>
      </c>
      <c r="M812" t="inlineStr">
        <is>
          <t>PAY03</t>
        </is>
      </c>
      <c r="N812" t="inlineStr">
        <is>
          <t>Morning</t>
        </is>
      </c>
      <c r="O812">
        <f>INDEX(Products_Catalog!$B$2:$B$151, MATCH(C812, Products_Catalog!$A$2:$A$151, 0))</f>
        <v/>
      </c>
      <c r="P812" s="13">
        <f>INDEX(Products_Catalog!$D$2:$D$151, MATCH(C812, Products_Catalog!$A$2:$A$151, 0))</f>
        <v/>
      </c>
      <c r="Q812" s="13">
        <f>I812-J812</f>
        <v/>
      </c>
      <c r="R812" s="15">
        <f>IF(K812&gt;20, "BREACH", "OK")</f>
        <v/>
      </c>
    </row>
    <row r="813">
      <c r="A813" t="inlineStr">
        <is>
          <t>ORD01958</t>
        </is>
      </c>
      <c r="B813" t="inlineStr">
        <is>
          <t>CUST0030</t>
        </is>
      </c>
      <c r="C813" t="inlineStr">
        <is>
          <t>PROD057</t>
        </is>
      </c>
      <c r="D813" t="inlineStr">
        <is>
          <t>STORE027</t>
        </is>
      </c>
      <c r="E813" t="inlineStr">
        <is>
          <t>DP018</t>
        </is>
      </c>
      <c r="F813" t="inlineStr">
        <is>
          <t>2024-06-06 17:14:00</t>
        </is>
      </c>
      <c r="G813" t="inlineStr">
        <is>
          <t>2024-06-06 17:42:00</t>
        </is>
      </c>
      <c r="H813" s="14" t="n">
        <v>10</v>
      </c>
      <c r="I813" s="13" t="n">
        <v>1767</v>
      </c>
      <c r="J813" s="13" t="n">
        <v>350.73</v>
      </c>
      <c r="K813" s="16" t="n">
        <v>28</v>
      </c>
      <c r="L813" t="inlineStr">
        <is>
          <t>Shipped</t>
        </is>
      </c>
      <c r="M813" t="inlineStr">
        <is>
          <t>PAY05</t>
        </is>
      </c>
      <c r="N813" t="inlineStr">
        <is>
          <t>Evening</t>
        </is>
      </c>
      <c r="O813">
        <f>INDEX(Products_Catalog!$B$2:$B$151, MATCH(C813, Products_Catalog!$A$2:$A$151, 0))</f>
        <v/>
      </c>
      <c r="P813" s="13">
        <f>INDEX(Products_Catalog!$D$2:$D$151, MATCH(C813, Products_Catalog!$A$2:$A$151, 0))</f>
        <v/>
      </c>
      <c r="Q813" s="13">
        <f>I813-J813</f>
        <v/>
      </c>
      <c r="R813" s="15">
        <f>IF(K813&gt;20, "BREACH", "OK")</f>
        <v/>
      </c>
    </row>
    <row r="814">
      <c r="A814" t="inlineStr">
        <is>
          <t>ORD01959</t>
        </is>
      </c>
      <c r="B814" t="inlineStr">
        <is>
          <t>CUST0017</t>
        </is>
      </c>
      <c r="C814" t="inlineStr">
        <is>
          <t>PROD016</t>
        </is>
      </c>
      <c r="D814" t="inlineStr">
        <is>
          <t>STORE001</t>
        </is>
      </c>
      <c r="E814" t="inlineStr">
        <is>
          <t>DP031</t>
        </is>
      </c>
      <c r="F814" t="inlineStr">
        <is>
          <t>2025-06-30 16:14:00</t>
        </is>
      </c>
      <c r="G814" t="inlineStr">
        <is>
          <t>2025-06-30 16:43:00</t>
        </is>
      </c>
      <c r="H814" s="14" t="n">
        <v>3</v>
      </c>
      <c r="I814" s="13" t="n">
        <v>722.34</v>
      </c>
      <c r="J814" s="13" t="n">
        <v>159.48</v>
      </c>
      <c r="K814" s="16" t="n">
        <v>29</v>
      </c>
      <c r="L814" t="inlineStr">
        <is>
          <t>Cancelled</t>
        </is>
      </c>
      <c r="M814" t="inlineStr">
        <is>
          <t>PAY01</t>
        </is>
      </c>
      <c r="N814" t="inlineStr">
        <is>
          <t>Afternoon</t>
        </is>
      </c>
      <c r="O814">
        <f>INDEX(Products_Catalog!$B$2:$B$151, MATCH(C814, Products_Catalog!$A$2:$A$151, 0))</f>
        <v/>
      </c>
      <c r="P814" s="13">
        <f>INDEX(Products_Catalog!$D$2:$D$151, MATCH(C814, Products_Catalog!$A$2:$A$151, 0))</f>
        <v/>
      </c>
      <c r="Q814" s="13">
        <f>I814-J814</f>
        <v/>
      </c>
      <c r="R814" s="15">
        <f>IF(K814&gt;20, "BREACH", "OK")</f>
        <v/>
      </c>
    </row>
    <row r="815">
      <c r="A815" t="inlineStr">
        <is>
          <t>ORD01960</t>
        </is>
      </c>
      <c r="B815" t="inlineStr">
        <is>
          <t>CUST0038</t>
        </is>
      </c>
      <c r="C815" t="inlineStr">
        <is>
          <t>PROD115</t>
        </is>
      </c>
      <c r="D815" t="inlineStr">
        <is>
          <t>STORE003</t>
        </is>
      </c>
      <c r="E815" t="inlineStr">
        <is>
          <t>DP028</t>
        </is>
      </c>
      <c r="F815" t="inlineStr">
        <is>
          <t>2024-12-27 12:10:00</t>
        </is>
      </c>
      <c r="G815" t="inlineStr">
        <is>
          <t>2024-12-27 12:40:00</t>
        </is>
      </c>
      <c r="H815" s="14" t="n">
        <v>4</v>
      </c>
      <c r="I815" s="13" t="n">
        <v>1955.24</v>
      </c>
      <c r="J815" s="13" t="n">
        <v>300.13</v>
      </c>
      <c r="K815" s="16" t="n">
        <v>30</v>
      </c>
      <c r="L815" t="inlineStr">
        <is>
          <t>Delivered</t>
        </is>
      </c>
      <c r="M815" t="inlineStr">
        <is>
          <t>PAY03</t>
        </is>
      </c>
      <c r="N815" t="inlineStr">
        <is>
          <t>Afternoon</t>
        </is>
      </c>
      <c r="O815">
        <f>INDEX(Products_Catalog!$B$2:$B$151, MATCH(C815, Products_Catalog!$A$2:$A$151, 0))</f>
        <v/>
      </c>
      <c r="P815" s="13">
        <f>INDEX(Products_Catalog!$D$2:$D$151, MATCH(C815, Products_Catalog!$A$2:$A$151, 0))</f>
        <v/>
      </c>
      <c r="Q815" s="13">
        <f>I815-J815</f>
        <v/>
      </c>
      <c r="R815" s="15">
        <f>IF(K815&gt;20, "BREACH", "OK")</f>
        <v/>
      </c>
    </row>
    <row r="816">
      <c r="A816" t="inlineStr">
        <is>
          <t>ORD01962</t>
        </is>
      </c>
      <c r="B816" t="inlineStr">
        <is>
          <t>CUST0049</t>
        </is>
      </c>
      <c r="C816" t="inlineStr">
        <is>
          <t>PROD122</t>
        </is>
      </c>
      <c r="D816" t="inlineStr">
        <is>
          <t>STORE015</t>
        </is>
      </c>
      <c r="E816" t="inlineStr">
        <is>
          <t>DP013</t>
        </is>
      </c>
      <c r="F816" t="inlineStr">
        <is>
          <t>2025-01-27 14:36:00</t>
        </is>
      </c>
      <c r="G816" t="inlineStr">
        <is>
          <t>2025-01-27 14:55:00</t>
        </is>
      </c>
      <c r="H816" s="14" t="n">
        <v>3</v>
      </c>
      <c r="I816" s="13" t="n">
        <v>895.74</v>
      </c>
      <c r="J816" s="13" t="n">
        <v>75.40000000000001</v>
      </c>
      <c r="K816" s="16" t="n">
        <v>19</v>
      </c>
      <c r="L816" t="inlineStr">
        <is>
          <t>Delivered</t>
        </is>
      </c>
      <c r="M816" t="inlineStr">
        <is>
          <t>PAY01</t>
        </is>
      </c>
      <c r="N816" t="inlineStr">
        <is>
          <t>Afternoon</t>
        </is>
      </c>
      <c r="O816">
        <f>INDEX(Products_Catalog!$B$2:$B$151, MATCH(C816, Products_Catalog!$A$2:$A$151, 0))</f>
        <v/>
      </c>
      <c r="P816" s="13">
        <f>INDEX(Products_Catalog!$D$2:$D$151, MATCH(C816, Products_Catalog!$A$2:$A$151, 0))</f>
        <v/>
      </c>
      <c r="Q816" s="13">
        <f>I816-J816</f>
        <v/>
      </c>
      <c r="R816" s="15">
        <f>IF(K816&gt;20, "BREACH", "OK")</f>
        <v/>
      </c>
    </row>
    <row r="817">
      <c r="A817" t="inlineStr">
        <is>
          <t>ORD01963</t>
        </is>
      </c>
      <c r="B817" t="inlineStr">
        <is>
          <t>CUST0031</t>
        </is>
      </c>
      <c r="C817" t="inlineStr">
        <is>
          <t>PROD049</t>
        </is>
      </c>
      <c r="D817" t="inlineStr">
        <is>
          <t>STORE048</t>
        </is>
      </c>
      <c r="E817" t="inlineStr">
        <is>
          <t>DP034</t>
        </is>
      </c>
      <c r="F817" t="inlineStr">
        <is>
          <t>2025-04-01 17:28:00</t>
        </is>
      </c>
      <c r="G817" t="inlineStr">
        <is>
          <t>2025-04-01 17:49:00</t>
        </is>
      </c>
      <c r="H817" s="14" t="n">
        <v>7</v>
      </c>
      <c r="I817" s="13" t="n">
        <v>1708.42</v>
      </c>
      <c r="J817" s="13" t="n">
        <v>200.24</v>
      </c>
      <c r="K817" s="16" t="n">
        <v>21</v>
      </c>
      <c r="L817" t="inlineStr">
        <is>
          <t>Delivered</t>
        </is>
      </c>
      <c r="M817" t="inlineStr">
        <is>
          <t>PAY02</t>
        </is>
      </c>
      <c r="N817" t="inlineStr">
        <is>
          <t>Evening</t>
        </is>
      </c>
      <c r="O817">
        <f>INDEX(Products_Catalog!$B$2:$B$151, MATCH(C817, Products_Catalog!$A$2:$A$151, 0))</f>
        <v/>
      </c>
      <c r="P817" s="13">
        <f>INDEX(Products_Catalog!$D$2:$D$151, MATCH(C817, Products_Catalog!$A$2:$A$151, 0))</f>
        <v/>
      </c>
      <c r="Q817" s="13">
        <f>I817-J817</f>
        <v/>
      </c>
      <c r="R817" s="15">
        <f>IF(K817&gt;20, "BREACH", "OK")</f>
        <v/>
      </c>
    </row>
    <row r="818">
      <c r="A818" t="inlineStr">
        <is>
          <t>ORD01964</t>
        </is>
      </c>
      <c r="B818" t="inlineStr">
        <is>
          <t>CUST0041</t>
        </is>
      </c>
      <c r="C818" t="inlineStr">
        <is>
          <t>PROD017</t>
        </is>
      </c>
      <c r="D818" t="inlineStr">
        <is>
          <t>STORE012</t>
        </is>
      </c>
      <c r="E818" t="inlineStr">
        <is>
          <t>DP044</t>
        </is>
      </c>
      <c r="F818" t="inlineStr">
        <is>
          <t>2024-10-24 08:20:00</t>
        </is>
      </c>
      <c r="G818" t="inlineStr">
        <is>
          <t>2024-10-24 08:32:00</t>
        </is>
      </c>
      <c r="H818" s="14" t="n">
        <v>1</v>
      </c>
      <c r="I818" s="13" t="n">
        <v>435.66</v>
      </c>
      <c r="J818" s="13" t="n">
        <v>79.41</v>
      </c>
      <c r="K818" s="16" t="n">
        <v>12</v>
      </c>
      <c r="L818" t="inlineStr">
        <is>
          <t>Returned</t>
        </is>
      </c>
      <c r="M818" t="inlineStr">
        <is>
          <t>PAY02</t>
        </is>
      </c>
      <c r="N818" t="inlineStr">
        <is>
          <t>Morning</t>
        </is>
      </c>
      <c r="O818">
        <f>INDEX(Products_Catalog!$B$2:$B$151, MATCH(C818, Products_Catalog!$A$2:$A$151, 0))</f>
        <v/>
      </c>
      <c r="P818" s="13">
        <f>INDEX(Products_Catalog!$D$2:$D$151, MATCH(C818, Products_Catalog!$A$2:$A$151, 0))</f>
        <v/>
      </c>
      <c r="Q818" s="13">
        <f>I818-J818</f>
        <v/>
      </c>
      <c r="R818" s="15">
        <f>IF(K818&gt;20, "BREACH", "OK")</f>
        <v/>
      </c>
    </row>
    <row r="819">
      <c r="A819" t="inlineStr">
        <is>
          <t>ORD01966</t>
        </is>
      </c>
      <c r="B819" t="inlineStr">
        <is>
          <t>CUST0001</t>
        </is>
      </c>
      <c r="C819" t="inlineStr">
        <is>
          <t>PROD022</t>
        </is>
      </c>
      <c r="D819" t="inlineStr">
        <is>
          <t>STORE015</t>
        </is>
      </c>
      <c r="E819" t="inlineStr">
        <is>
          <t>DP046</t>
        </is>
      </c>
      <c r="F819" t="inlineStr">
        <is>
          <t>2024-12-01 16:08:00</t>
        </is>
      </c>
      <c r="G819" t="inlineStr">
        <is>
          <t>2024-12-01 16:22:00</t>
        </is>
      </c>
      <c r="H819" s="14" t="n">
        <v>8</v>
      </c>
      <c r="I819" s="13" t="n">
        <v>1500.48</v>
      </c>
      <c r="J819" s="13" t="n">
        <v>407.19</v>
      </c>
      <c r="K819" s="16" t="n">
        <v>14</v>
      </c>
      <c r="L819" t="inlineStr">
        <is>
          <t>Pending</t>
        </is>
      </c>
      <c r="M819" t="inlineStr">
        <is>
          <t>PAY03</t>
        </is>
      </c>
      <c r="N819" t="inlineStr">
        <is>
          <t>Afternoon</t>
        </is>
      </c>
      <c r="O819">
        <f>INDEX(Products_Catalog!$B$2:$B$151, MATCH(C819, Products_Catalog!$A$2:$A$151, 0))</f>
        <v/>
      </c>
      <c r="P819" s="13">
        <f>INDEX(Products_Catalog!$D$2:$D$151, MATCH(C819, Products_Catalog!$A$2:$A$151, 0))</f>
        <v/>
      </c>
      <c r="Q819" s="13">
        <f>I819-J819</f>
        <v/>
      </c>
      <c r="R819" s="15">
        <f>IF(K819&gt;20, "BREACH", "OK")</f>
        <v/>
      </c>
    </row>
    <row r="820">
      <c r="A820" t="inlineStr">
        <is>
          <t>ORD01967</t>
        </is>
      </c>
      <c r="B820" t="inlineStr">
        <is>
          <t>CUST0001</t>
        </is>
      </c>
      <c r="C820" t="inlineStr">
        <is>
          <t>PROD100</t>
        </is>
      </c>
      <c r="D820" t="inlineStr">
        <is>
          <t>STORE012</t>
        </is>
      </c>
      <c r="E820" t="inlineStr">
        <is>
          <t>DP017</t>
        </is>
      </c>
      <c r="F820" t="inlineStr">
        <is>
          <t>2024-03-05 16:23:00</t>
        </is>
      </c>
      <c r="G820" t="inlineStr">
        <is>
          <t>2024-03-05 16:38:00</t>
        </is>
      </c>
      <c r="H820" s="14" t="n">
        <v>9</v>
      </c>
      <c r="I820" s="13" t="n">
        <v>2790.18</v>
      </c>
      <c r="J820" s="13" t="n">
        <v>636.3</v>
      </c>
      <c r="K820" s="16" t="n">
        <v>15</v>
      </c>
      <c r="L820" t="inlineStr">
        <is>
          <t>Returned</t>
        </is>
      </c>
      <c r="M820" t="inlineStr">
        <is>
          <t>PAY05</t>
        </is>
      </c>
      <c r="N820" t="inlineStr">
        <is>
          <t>Afternoon</t>
        </is>
      </c>
      <c r="O820">
        <f>INDEX(Products_Catalog!$B$2:$B$151, MATCH(C820, Products_Catalog!$A$2:$A$151, 0))</f>
        <v/>
      </c>
      <c r="P820" s="13">
        <f>INDEX(Products_Catalog!$D$2:$D$151, MATCH(C820, Products_Catalog!$A$2:$A$151, 0))</f>
        <v/>
      </c>
      <c r="Q820" s="13">
        <f>I820-J820</f>
        <v/>
      </c>
      <c r="R820" s="15">
        <f>IF(K820&gt;20, "BREACH", "OK")</f>
        <v/>
      </c>
    </row>
    <row r="821">
      <c r="A821" t="inlineStr">
        <is>
          <t>ORD01968</t>
        </is>
      </c>
      <c r="B821" t="inlineStr">
        <is>
          <t>CUST0016</t>
        </is>
      </c>
      <c r="C821" t="inlineStr">
        <is>
          <t>PROD045</t>
        </is>
      </c>
      <c r="D821" t="inlineStr">
        <is>
          <t>STORE031</t>
        </is>
      </c>
      <c r="E821" t="inlineStr">
        <is>
          <t>DP012</t>
        </is>
      </c>
      <c r="F821" t="inlineStr">
        <is>
          <t>2024-08-21 07:57:00</t>
        </is>
      </c>
      <c r="G821" t="inlineStr">
        <is>
          <t>2024-08-21 08:13:00</t>
        </is>
      </c>
      <c r="H821" s="14" t="n">
        <v>4</v>
      </c>
      <c r="I821" s="13" t="n">
        <v>1304.16</v>
      </c>
      <c r="J821" s="13" t="n">
        <v>108.98</v>
      </c>
      <c r="K821" s="16" t="n">
        <v>16</v>
      </c>
      <c r="L821" t="inlineStr">
        <is>
          <t>Returned</t>
        </is>
      </c>
      <c r="M821" t="inlineStr">
        <is>
          <t>PAY05</t>
        </is>
      </c>
      <c r="N821" t="inlineStr">
        <is>
          <t>Morning</t>
        </is>
      </c>
      <c r="O821">
        <f>INDEX(Products_Catalog!$B$2:$B$151, MATCH(C821, Products_Catalog!$A$2:$A$151, 0))</f>
        <v/>
      </c>
      <c r="P821" s="13">
        <f>INDEX(Products_Catalog!$D$2:$D$151, MATCH(C821, Products_Catalog!$A$2:$A$151, 0))</f>
        <v/>
      </c>
      <c r="Q821" s="13">
        <f>I821-J821</f>
        <v/>
      </c>
      <c r="R821" s="15">
        <f>IF(K821&gt;20, "BREACH", "OK")</f>
        <v/>
      </c>
    </row>
    <row r="822">
      <c r="A822" t="inlineStr">
        <is>
          <t>ORD01969</t>
        </is>
      </c>
      <c r="B822" t="inlineStr">
        <is>
          <t>CUST0006</t>
        </is>
      </c>
      <c r="C822" t="inlineStr">
        <is>
          <t>PROD040</t>
        </is>
      </c>
      <c r="D822" t="inlineStr">
        <is>
          <t>STORE047</t>
        </is>
      </c>
      <c r="E822" t="inlineStr">
        <is>
          <t>DP027</t>
        </is>
      </c>
      <c r="F822" t="inlineStr">
        <is>
          <t>2025-06-15 13:56:00</t>
        </is>
      </c>
      <c r="G822" t="inlineStr">
        <is>
          <t>2025-06-15 14:22:00</t>
        </is>
      </c>
      <c r="H822" s="14" t="n">
        <v>9</v>
      </c>
      <c r="I822" s="13" t="n">
        <v>4434.93</v>
      </c>
      <c r="J822" s="13" t="n">
        <v>86.70999999999999</v>
      </c>
      <c r="K822" s="16" t="n">
        <v>26</v>
      </c>
      <c r="L822" t="inlineStr">
        <is>
          <t>Returned</t>
        </is>
      </c>
      <c r="M822" t="inlineStr">
        <is>
          <t>PAY03</t>
        </is>
      </c>
      <c r="N822" t="inlineStr">
        <is>
          <t>Afternoon</t>
        </is>
      </c>
      <c r="O822">
        <f>INDEX(Products_Catalog!$B$2:$B$151, MATCH(C822, Products_Catalog!$A$2:$A$151, 0))</f>
        <v/>
      </c>
      <c r="P822" s="13">
        <f>INDEX(Products_Catalog!$D$2:$D$151, MATCH(C822, Products_Catalog!$A$2:$A$151, 0))</f>
        <v/>
      </c>
      <c r="Q822" s="13">
        <f>I822-J822</f>
        <v/>
      </c>
      <c r="R822" s="15">
        <f>IF(K822&gt;20, "BREACH", "OK")</f>
        <v/>
      </c>
    </row>
    <row r="823">
      <c r="A823" t="inlineStr">
        <is>
          <t>ORD01973</t>
        </is>
      </c>
      <c r="B823" t="inlineStr">
        <is>
          <t>CUST0041</t>
        </is>
      </c>
      <c r="C823" t="inlineStr">
        <is>
          <t>PROD050</t>
        </is>
      </c>
      <c r="D823" t="inlineStr">
        <is>
          <t>STORE050</t>
        </is>
      </c>
      <c r="E823" t="inlineStr">
        <is>
          <t>DP004</t>
        </is>
      </c>
      <c r="F823" t="inlineStr">
        <is>
          <t>2025-04-18 09:03:00</t>
        </is>
      </c>
      <c r="G823" t="inlineStr">
        <is>
          <t>2025-04-18 09:17:00</t>
        </is>
      </c>
      <c r="H823" s="14" t="n">
        <v>6</v>
      </c>
      <c r="I823" s="13" t="n">
        <v>1205.76</v>
      </c>
      <c r="J823" s="13" t="n">
        <v>235.15</v>
      </c>
      <c r="K823" s="16" t="n">
        <v>14</v>
      </c>
      <c r="L823" t="inlineStr">
        <is>
          <t>Returned</t>
        </is>
      </c>
      <c r="M823" t="inlineStr">
        <is>
          <t>PAY01</t>
        </is>
      </c>
      <c r="N823" t="inlineStr">
        <is>
          <t>Morning</t>
        </is>
      </c>
      <c r="O823">
        <f>INDEX(Products_Catalog!$B$2:$B$151, MATCH(C823, Products_Catalog!$A$2:$A$151, 0))</f>
        <v/>
      </c>
      <c r="P823" s="13">
        <f>INDEX(Products_Catalog!$D$2:$D$151, MATCH(C823, Products_Catalog!$A$2:$A$151, 0))</f>
        <v/>
      </c>
      <c r="Q823" s="13">
        <f>I823-J823</f>
        <v/>
      </c>
      <c r="R823" s="15">
        <f>IF(K823&gt;20, "BREACH", "OK")</f>
        <v/>
      </c>
    </row>
    <row r="824">
      <c r="A824" t="inlineStr">
        <is>
          <t>ORD01974</t>
        </is>
      </c>
      <c r="B824" t="inlineStr">
        <is>
          <t>CUST0006</t>
        </is>
      </c>
      <c r="C824" t="inlineStr">
        <is>
          <t>PROD040</t>
        </is>
      </c>
      <c r="D824" t="inlineStr">
        <is>
          <t>STORE047</t>
        </is>
      </c>
      <c r="E824" t="inlineStr">
        <is>
          <t>DP027</t>
        </is>
      </c>
      <c r="F824" t="inlineStr">
        <is>
          <t>2025-06-15 13:56:00</t>
        </is>
      </c>
      <c r="G824" t="inlineStr">
        <is>
          <t>2025-06-15 14:22:00</t>
        </is>
      </c>
      <c r="H824" s="14" t="n">
        <v>9</v>
      </c>
      <c r="I824" s="13" t="n">
        <v>4434.93</v>
      </c>
      <c r="J824" s="13" t="n">
        <v>86.70999999999999</v>
      </c>
      <c r="K824" s="16" t="n">
        <v>26</v>
      </c>
      <c r="L824" t="inlineStr">
        <is>
          <t>Returned</t>
        </is>
      </c>
      <c r="M824" t="inlineStr">
        <is>
          <t>PAY03</t>
        </is>
      </c>
      <c r="N824" t="inlineStr">
        <is>
          <t>Afternoon</t>
        </is>
      </c>
      <c r="O824">
        <f>INDEX(Products_Catalog!$B$2:$B$151, MATCH(C824, Products_Catalog!$A$2:$A$151, 0))</f>
        <v/>
      </c>
      <c r="P824" s="13">
        <f>INDEX(Products_Catalog!$D$2:$D$151, MATCH(C824, Products_Catalog!$A$2:$A$151, 0))</f>
        <v/>
      </c>
      <c r="Q824" s="13">
        <f>I824-J824</f>
        <v/>
      </c>
      <c r="R824" s="15">
        <f>IF(K824&gt;20, "BREACH", "OK")</f>
        <v/>
      </c>
    </row>
    <row r="825">
      <c r="A825" t="inlineStr">
        <is>
          <t>ORD01978</t>
        </is>
      </c>
      <c r="B825" t="inlineStr">
        <is>
          <t>CUST0016</t>
        </is>
      </c>
      <c r="C825" t="inlineStr">
        <is>
          <t>PROD045</t>
        </is>
      </c>
      <c r="D825" t="inlineStr">
        <is>
          <t>STORE031</t>
        </is>
      </c>
      <c r="E825" t="inlineStr">
        <is>
          <t>DP012</t>
        </is>
      </c>
      <c r="F825" t="inlineStr">
        <is>
          <t>2024-08-21 08:00:00</t>
        </is>
      </c>
      <c r="G825" t="inlineStr">
        <is>
          <t>2024-08-21 08:13:00</t>
        </is>
      </c>
      <c r="H825" s="14" t="n">
        <v>4</v>
      </c>
      <c r="I825" s="13" t="n">
        <v>1304.16</v>
      </c>
      <c r="J825" s="13" t="n">
        <v>108.98</v>
      </c>
      <c r="K825" s="16" t="n">
        <v>13</v>
      </c>
      <c r="L825" t="inlineStr">
        <is>
          <t>Returned</t>
        </is>
      </c>
      <c r="M825" t="inlineStr">
        <is>
          <t>PAY05</t>
        </is>
      </c>
      <c r="N825" t="inlineStr">
        <is>
          <t>Morning</t>
        </is>
      </c>
      <c r="O825">
        <f>INDEX(Products_Catalog!$B$2:$B$151, MATCH(C825, Products_Catalog!$A$2:$A$151, 0))</f>
        <v/>
      </c>
      <c r="P825" s="13">
        <f>INDEX(Products_Catalog!$D$2:$D$151, MATCH(C825, Products_Catalog!$A$2:$A$151, 0))</f>
        <v/>
      </c>
      <c r="Q825" s="13">
        <f>I825-J825</f>
        <v/>
      </c>
      <c r="R825" s="15">
        <f>IF(K825&gt;20, "BREACH", "OK")</f>
        <v/>
      </c>
    </row>
    <row r="826">
      <c r="A826" t="inlineStr">
        <is>
          <t>ORD01979</t>
        </is>
      </c>
      <c r="B826" t="inlineStr">
        <is>
          <t>CUST0006</t>
        </is>
      </c>
      <c r="C826" t="inlineStr">
        <is>
          <t>PROD040</t>
        </is>
      </c>
      <c r="D826" t="inlineStr">
        <is>
          <t>STORE047</t>
        </is>
      </c>
      <c r="E826" t="inlineStr">
        <is>
          <t>DP027</t>
        </is>
      </c>
      <c r="F826" t="inlineStr">
        <is>
          <t>2025-06-15 13:56:00</t>
        </is>
      </c>
      <c r="G826" t="inlineStr">
        <is>
          <t>2025-06-15 14:22:00</t>
        </is>
      </c>
      <c r="H826" s="14" t="n">
        <v>9</v>
      </c>
      <c r="I826" s="13" t="n">
        <v>4434.93</v>
      </c>
      <c r="J826" s="13" t="n">
        <v>86.70999999999999</v>
      </c>
      <c r="K826" s="16" t="n">
        <v>26</v>
      </c>
      <c r="L826" t="inlineStr">
        <is>
          <t>Returned</t>
        </is>
      </c>
      <c r="M826" t="inlineStr">
        <is>
          <t>PAY03</t>
        </is>
      </c>
      <c r="N826" t="inlineStr">
        <is>
          <t>Afternoon</t>
        </is>
      </c>
      <c r="O826">
        <f>INDEX(Products_Catalog!$B$2:$B$151, MATCH(C826, Products_Catalog!$A$2:$A$151, 0))</f>
        <v/>
      </c>
      <c r="P826" s="13">
        <f>INDEX(Products_Catalog!$D$2:$D$151, MATCH(C826, Products_Catalog!$A$2:$A$151, 0))</f>
        <v/>
      </c>
      <c r="Q826" s="13">
        <f>I826-J826</f>
        <v/>
      </c>
      <c r="R826" s="15">
        <f>IF(K826&gt;20, "BREACH", "OK")</f>
        <v/>
      </c>
    </row>
    <row r="827">
      <c r="A827" t="inlineStr">
        <is>
          <t>ORD01981</t>
        </is>
      </c>
      <c r="B827" t="inlineStr">
        <is>
          <t>CUST0046</t>
        </is>
      </c>
      <c r="C827" t="inlineStr">
        <is>
          <t>PROD051</t>
        </is>
      </c>
      <c r="D827" t="inlineStr">
        <is>
          <t>STORE002</t>
        </is>
      </c>
      <c r="E827" t="inlineStr">
        <is>
          <t>DP043</t>
        </is>
      </c>
      <c r="F827" t="inlineStr">
        <is>
          <t>2025-01-14 13:19:00</t>
        </is>
      </c>
      <c r="G827" t="inlineStr">
        <is>
          <t>2025-01-14 13:40:00</t>
        </is>
      </c>
      <c r="H827" s="14" t="n">
        <v>4</v>
      </c>
      <c r="I827" s="13" t="n">
        <v>474.32</v>
      </c>
      <c r="J827" s="13" t="n">
        <v>134.82</v>
      </c>
      <c r="K827" s="16" t="n">
        <v>21</v>
      </c>
      <c r="L827" t="inlineStr">
        <is>
          <t>Cancelled</t>
        </is>
      </c>
      <c r="M827" t="inlineStr">
        <is>
          <t>PAY04</t>
        </is>
      </c>
      <c r="N827" t="inlineStr">
        <is>
          <t>Afternoon</t>
        </is>
      </c>
      <c r="O827">
        <f>INDEX(Products_Catalog!$B$2:$B$151, MATCH(C827, Products_Catalog!$A$2:$A$151, 0))</f>
        <v/>
      </c>
      <c r="P827" s="13">
        <f>INDEX(Products_Catalog!$D$2:$D$151, MATCH(C827, Products_Catalog!$A$2:$A$151, 0))</f>
        <v/>
      </c>
      <c r="Q827" s="13">
        <f>I827-J827</f>
        <v/>
      </c>
      <c r="R827" s="15">
        <f>IF(K827&gt;20, "BREACH", "OK")</f>
        <v/>
      </c>
    </row>
    <row r="828">
      <c r="A828" t="inlineStr">
        <is>
          <t>ORD01982</t>
        </is>
      </c>
      <c r="B828" t="inlineStr">
        <is>
          <t>CUST0030</t>
        </is>
      </c>
      <c r="C828" t="inlineStr">
        <is>
          <t>PROD090</t>
        </is>
      </c>
      <c r="D828" t="inlineStr">
        <is>
          <t>STORE019</t>
        </is>
      </c>
      <c r="E828" t="inlineStr">
        <is>
          <t>DP043</t>
        </is>
      </c>
      <c r="F828" t="inlineStr">
        <is>
          <t>2025-06-26 10:04:00</t>
        </is>
      </c>
      <c r="G828" t="inlineStr">
        <is>
          <t>2025-06-26 10:26:00</t>
        </is>
      </c>
      <c r="H828" s="14" t="n">
        <v>7</v>
      </c>
      <c r="I828" s="13" t="n">
        <v>730.17</v>
      </c>
      <c r="J828" s="13" t="n">
        <v>65.79000000000001</v>
      </c>
      <c r="K828" s="16" t="n">
        <v>22</v>
      </c>
      <c r="L828" t="inlineStr">
        <is>
          <t>Shipped</t>
        </is>
      </c>
      <c r="M828" t="inlineStr">
        <is>
          <t>PAY03</t>
        </is>
      </c>
      <c r="N828" t="inlineStr">
        <is>
          <t>Morning</t>
        </is>
      </c>
      <c r="O828">
        <f>INDEX(Products_Catalog!$B$2:$B$151, MATCH(C828, Products_Catalog!$A$2:$A$151, 0))</f>
        <v/>
      </c>
      <c r="P828" s="13">
        <f>INDEX(Products_Catalog!$D$2:$D$151, MATCH(C828, Products_Catalog!$A$2:$A$151, 0))</f>
        <v/>
      </c>
      <c r="Q828" s="13">
        <f>I828-J828</f>
        <v/>
      </c>
      <c r="R828" s="15">
        <f>IF(K828&gt;20, "BREACH", "OK")</f>
        <v/>
      </c>
    </row>
    <row r="829">
      <c r="A829" t="inlineStr">
        <is>
          <t>ORD01984</t>
        </is>
      </c>
      <c r="B829" t="inlineStr">
        <is>
          <t>CUST0029</t>
        </is>
      </c>
      <c r="C829" t="inlineStr">
        <is>
          <t>PROD001</t>
        </is>
      </c>
      <c r="D829" t="inlineStr">
        <is>
          <t>STORE017</t>
        </is>
      </c>
      <c r="E829" t="inlineStr">
        <is>
          <t>DP012</t>
        </is>
      </c>
      <c r="F829" t="inlineStr">
        <is>
          <t>2024-08-22 19:57:00</t>
        </is>
      </c>
      <c r="G829" t="inlineStr">
        <is>
          <t>2024-08-22 20:19:00</t>
        </is>
      </c>
      <c r="H829" s="14" t="n">
        <v>7</v>
      </c>
      <c r="I829" s="13" t="n">
        <v>3033.31</v>
      </c>
      <c r="J829" s="13" t="n">
        <v>689.95</v>
      </c>
      <c r="K829" s="16" t="n">
        <v>22</v>
      </c>
      <c r="L829" t="inlineStr">
        <is>
          <t>Cancelled</t>
        </is>
      </c>
      <c r="M829" t="inlineStr">
        <is>
          <t>PAY05</t>
        </is>
      </c>
      <c r="N829" t="inlineStr">
        <is>
          <t>Evening</t>
        </is>
      </c>
      <c r="O829">
        <f>INDEX(Products_Catalog!$B$2:$B$151, MATCH(C829, Products_Catalog!$A$2:$A$151, 0))</f>
        <v/>
      </c>
      <c r="P829" s="13">
        <f>INDEX(Products_Catalog!$D$2:$D$151, MATCH(C829, Products_Catalog!$A$2:$A$151, 0))</f>
        <v/>
      </c>
      <c r="Q829" s="13">
        <f>I829-J829</f>
        <v/>
      </c>
      <c r="R829" s="15">
        <f>IF(K829&gt;20, "BREACH", "OK")</f>
        <v/>
      </c>
    </row>
    <row r="830">
      <c r="A830" t="inlineStr">
        <is>
          <t>ORD01985</t>
        </is>
      </c>
      <c r="B830" t="inlineStr">
        <is>
          <t>CUST0046</t>
        </is>
      </c>
      <c r="C830" t="inlineStr">
        <is>
          <t>PROD051</t>
        </is>
      </c>
      <c r="D830" t="inlineStr">
        <is>
          <t>STORE002</t>
        </is>
      </c>
      <c r="E830" t="inlineStr">
        <is>
          <t>DP043</t>
        </is>
      </c>
      <c r="F830" t="inlineStr">
        <is>
          <t>2025-01-14 13:27:00</t>
        </is>
      </c>
      <c r="G830" t="inlineStr">
        <is>
          <t>2025-01-14 13:40:00</t>
        </is>
      </c>
      <c r="H830" s="14" t="n">
        <v>4</v>
      </c>
      <c r="I830" s="13" t="n">
        <v>474.32</v>
      </c>
      <c r="J830" s="13" t="n">
        <v>134.82</v>
      </c>
      <c r="K830" s="16" t="n">
        <v>13</v>
      </c>
      <c r="L830" t="inlineStr">
        <is>
          <t>Cancelled</t>
        </is>
      </c>
      <c r="M830" t="inlineStr">
        <is>
          <t>PAY04</t>
        </is>
      </c>
      <c r="N830" t="inlineStr">
        <is>
          <t>Afternoon</t>
        </is>
      </c>
      <c r="O830">
        <f>INDEX(Products_Catalog!$B$2:$B$151, MATCH(C830, Products_Catalog!$A$2:$A$151, 0))</f>
        <v/>
      </c>
      <c r="P830" s="13">
        <f>INDEX(Products_Catalog!$D$2:$D$151, MATCH(C830, Products_Catalog!$A$2:$A$151, 0))</f>
        <v/>
      </c>
      <c r="Q830" s="13">
        <f>I830-J830</f>
        <v/>
      </c>
      <c r="R830" s="15">
        <f>IF(K830&gt;20, "BREACH", "OK")</f>
        <v/>
      </c>
    </row>
    <row r="831">
      <c r="A831" t="inlineStr">
        <is>
          <t>ORD01986</t>
        </is>
      </c>
      <c r="B831" t="inlineStr">
        <is>
          <t>CUST0030</t>
        </is>
      </c>
      <c r="C831" t="inlineStr">
        <is>
          <t>PROD090</t>
        </is>
      </c>
      <c r="D831" t="inlineStr">
        <is>
          <t>STORE019</t>
        </is>
      </c>
      <c r="E831" t="inlineStr">
        <is>
          <t>DP043</t>
        </is>
      </c>
      <c r="F831" t="inlineStr">
        <is>
          <t>2025-06-26 10:02:00</t>
        </is>
      </c>
      <c r="G831" t="inlineStr">
        <is>
          <t>2025-06-26 10:26:00</t>
        </is>
      </c>
      <c r="H831" s="14" t="n">
        <v>7</v>
      </c>
      <c r="I831" s="13" t="n">
        <v>730.17</v>
      </c>
      <c r="J831" s="13" t="n">
        <v>65.79000000000001</v>
      </c>
      <c r="K831" s="16" t="n">
        <v>24</v>
      </c>
      <c r="L831" t="inlineStr">
        <is>
          <t>Shipped</t>
        </is>
      </c>
      <c r="M831" t="inlineStr">
        <is>
          <t>PAY03</t>
        </is>
      </c>
      <c r="N831" t="inlineStr">
        <is>
          <t>Morning</t>
        </is>
      </c>
      <c r="O831">
        <f>INDEX(Products_Catalog!$B$2:$B$151, MATCH(C831, Products_Catalog!$A$2:$A$151, 0))</f>
        <v/>
      </c>
      <c r="P831" s="13">
        <f>INDEX(Products_Catalog!$D$2:$D$151, MATCH(C831, Products_Catalog!$A$2:$A$151, 0))</f>
        <v/>
      </c>
      <c r="Q831" s="13">
        <f>I831-J831</f>
        <v/>
      </c>
      <c r="R831" s="15">
        <f>IF(K831&gt;20, "BREACH", "OK")</f>
        <v/>
      </c>
    </row>
    <row r="832">
      <c r="A832" t="inlineStr">
        <is>
          <t>ORD01987</t>
        </is>
      </c>
      <c r="B832" t="inlineStr">
        <is>
          <t>CUST0044</t>
        </is>
      </c>
      <c r="C832" t="inlineStr">
        <is>
          <t>PROD003</t>
        </is>
      </c>
      <c r="D832" t="inlineStr">
        <is>
          <t>STORE005</t>
        </is>
      </c>
      <c r="E832" t="inlineStr">
        <is>
          <t>DP047</t>
        </is>
      </c>
      <c r="F832" t="inlineStr">
        <is>
          <t>2024-06-27 17:18:00</t>
        </is>
      </c>
      <c r="G832" t="inlineStr">
        <is>
          <t>2024-06-27 17:32:00</t>
        </is>
      </c>
      <c r="H832" s="14" t="n">
        <v>6</v>
      </c>
      <c r="I832" s="13" t="n">
        <v>1069.08</v>
      </c>
      <c r="J832" s="13" t="n">
        <v>251.08</v>
      </c>
      <c r="K832" s="16" t="n">
        <v>14</v>
      </c>
      <c r="L832" t="inlineStr">
        <is>
          <t>Cancelled</t>
        </is>
      </c>
      <c r="M832" t="inlineStr">
        <is>
          <t>PAY04</t>
        </is>
      </c>
      <c r="N832" t="inlineStr">
        <is>
          <t>Evening</t>
        </is>
      </c>
      <c r="O832">
        <f>INDEX(Products_Catalog!$B$2:$B$151, MATCH(C832, Products_Catalog!$A$2:$A$151, 0))</f>
        <v/>
      </c>
      <c r="P832" s="13">
        <f>INDEX(Products_Catalog!$D$2:$D$151, MATCH(C832, Products_Catalog!$A$2:$A$151, 0))</f>
        <v/>
      </c>
      <c r="Q832" s="13">
        <f>I832-J832</f>
        <v/>
      </c>
      <c r="R832" s="15">
        <f>IF(K832&gt;20, "BREACH", "OK")</f>
        <v/>
      </c>
    </row>
    <row r="833">
      <c r="A833" t="inlineStr">
        <is>
          <t>ORD01988</t>
        </is>
      </c>
      <c r="B833" t="inlineStr">
        <is>
          <t>CUST0004</t>
        </is>
      </c>
      <c r="C833" t="inlineStr">
        <is>
          <t>PROD110</t>
        </is>
      </c>
      <c r="D833" t="inlineStr">
        <is>
          <t>STORE005</t>
        </is>
      </c>
      <c r="E833" t="inlineStr">
        <is>
          <t>DP031</t>
        </is>
      </c>
      <c r="F833" t="inlineStr">
        <is>
          <t>2024-12-15 11:23:00</t>
        </is>
      </c>
      <c r="G833" t="inlineStr">
        <is>
          <t>2024-12-15 11:35:00</t>
        </is>
      </c>
      <c r="H833" s="14" t="n">
        <v>2</v>
      </c>
      <c r="I833" s="13" t="n">
        <v>534.35</v>
      </c>
      <c r="J833" s="13" t="n">
        <v>15.88</v>
      </c>
      <c r="K833" s="16" t="n">
        <v>12</v>
      </c>
      <c r="L833" t="inlineStr">
        <is>
          <t>Shipped</t>
        </is>
      </c>
      <c r="M833" t="inlineStr">
        <is>
          <t>PAY02</t>
        </is>
      </c>
      <c r="N833" t="inlineStr">
        <is>
          <t>Morning</t>
        </is>
      </c>
      <c r="O833">
        <f>INDEX(Products_Catalog!$B$2:$B$151, MATCH(C833, Products_Catalog!$A$2:$A$151, 0))</f>
        <v/>
      </c>
      <c r="P833" s="13">
        <f>INDEX(Products_Catalog!$D$2:$D$151, MATCH(C833, Products_Catalog!$A$2:$A$151, 0))</f>
        <v/>
      </c>
      <c r="Q833" s="13">
        <f>I833-J833</f>
        <v/>
      </c>
      <c r="R833" s="15">
        <f>IF(K833&gt;20, "BREACH", "OK")</f>
        <v/>
      </c>
    </row>
    <row r="834">
      <c r="A834" t="inlineStr">
        <is>
          <t>ORD01989</t>
        </is>
      </c>
      <c r="B834" t="inlineStr">
        <is>
          <t>CUST0025</t>
        </is>
      </c>
      <c r="C834" t="inlineStr">
        <is>
          <t>PROD045</t>
        </is>
      </c>
      <c r="D834" t="inlineStr">
        <is>
          <t>STORE001</t>
        </is>
      </c>
      <c r="E834" t="inlineStr">
        <is>
          <t>DP014</t>
        </is>
      </c>
      <c r="F834" t="inlineStr">
        <is>
          <t>2024-04-20 06:51:00</t>
        </is>
      </c>
      <c r="G834" t="inlineStr">
        <is>
          <t>2024-04-20 07:04:00</t>
        </is>
      </c>
      <c r="H834" s="14" t="n">
        <v>1</v>
      </c>
      <c r="I834" s="13" t="n">
        <v>309.75</v>
      </c>
      <c r="J834" s="13" t="n">
        <v>9.199999999999999</v>
      </c>
      <c r="K834" s="16" t="n">
        <v>13</v>
      </c>
      <c r="L834" t="inlineStr">
        <is>
          <t>Delivered</t>
        </is>
      </c>
      <c r="M834" t="inlineStr">
        <is>
          <t>PAY03</t>
        </is>
      </c>
      <c r="N834" t="inlineStr">
        <is>
          <t>Morning</t>
        </is>
      </c>
      <c r="O834">
        <f>INDEX(Products_Catalog!$B$2:$B$151, MATCH(C834, Products_Catalog!$A$2:$A$151, 0))</f>
        <v/>
      </c>
      <c r="P834" s="13">
        <f>INDEX(Products_Catalog!$D$2:$D$151, MATCH(C834, Products_Catalog!$A$2:$A$151, 0))</f>
        <v/>
      </c>
      <c r="Q834" s="13">
        <f>I834-J834</f>
        <v/>
      </c>
      <c r="R834" s="15">
        <f>IF(K834&gt;20, "BREACH", "OK")</f>
        <v/>
      </c>
    </row>
    <row r="835">
      <c r="A835" t="inlineStr">
        <is>
          <t>ORD01990</t>
        </is>
      </c>
      <c r="B835" t="inlineStr">
        <is>
          <t>CUST0032</t>
        </is>
      </c>
      <c r="C835" t="inlineStr">
        <is>
          <t>PROD046</t>
        </is>
      </c>
      <c r="D835" t="inlineStr">
        <is>
          <t>STORE004</t>
        </is>
      </c>
      <c r="E835" t="inlineStr">
        <is>
          <t>DP010</t>
        </is>
      </c>
      <c r="F835" t="inlineStr">
        <is>
          <t>2024-02-01 06:32:00</t>
        </is>
      </c>
      <c r="G835" t="inlineStr">
        <is>
          <t>2024-02-01 06:46:00</t>
        </is>
      </c>
      <c r="H835" s="14" t="n">
        <v>2</v>
      </c>
      <c r="I835" s="13" t="n">
        <v>574.54</v>
      </c>
      <c r="J835" s="13" t="n">
        <v>96.98999999999999</v>
      </c>
      <c r="K835" s="16" t="n">
        <v>14</v>
      </c>
      <c r="L835" t="inlineStr">
        <is>
          <t>Pending</t>
        </is>
      </c>
      <c r="M835" t="inlineStr">
        <is>
          <t>PAY04</t>
        </is>
      </c>
      <c r="N835" t="inlineStr">
        <is>
          <t>Morning</t>
        </is>
      </c>
      <c r="O835">
        <f>INDEX(Products_Catalog!$B$2:$B$151, MATCH(C835, Products_Catalog!$A$2:$A$151, 0))</f>
        <v/>
      </c>
      <c r="P835" s="13">
        <f>INDEX(Products_Catalog!$D$2:$D$151, MATCH(C835, Products_Catalog!$A$2:$A$151, 0))</f>
        <v/>
      </c>
      <c r="Q835" s="13">
        <f>I835-J835</f>
        <v/>
      </c>
      <c r="R835" s="15">
        <f>IF(K835&gt;20, "BREACH", "OK")</f>
        <v/>
      </c>
    </row>
    <row r="836">
      <c r="A836" t="inlineStr">
        <is>
          <t>ORD01991</t>
        </is>
      </c>
      <c r="B836" t="inlineStr">
        <is>
          <t>CUST0049</t>
        </is>
      </c>
      <c r="C836" t="inlineStr">
        <is>
          <t>PROD090</t>
        </is>
      </c>
      <c r="D836" t="inlineStr">
        <is>
          <t>STORE048</t>
        </is>
      </c>
      <c r="E836" t="inlineStr">
        <is>
          <t>DP036</t>
        </is>
      </c>
      <c r="F836" t="inlineStr">
        <is>
          <t>2024-06-23 07:38:00</t>
        </is>
      </c>
      <c r="G836" t="inlineStr">
        <is>
          <t>2024-06-23 07:53:00</t>
        </is>
      </c>
      <c r="H836" s="14" t="n">
        <v>8</v>
      </c>
      <c r="I836" s="13" t="n">
        <v>769.52</v>
      </c>
      <c r="J836" s="13" t="n">
        <v>74.93000000000001</v>
      </c>
      <c r="K836" s="16" t="n">
        <v>15</v>
      </c>
      <c r="L836" t="inlineStr">
        <is>
          <t>Cancelled</t>
        </is>
      </c>
      <c r="M836" t="inlineStr">
        <is>
          <t>PAY05</t>
        </is>
      </c>
      <c r="N836" t="inlineStr">
        <is>
          <t>Morning</t>
        </is>
      </c>
      <c r="O836">
        <f>INDEX(Products_Catalog!$B$2:$B$151, MATCH(C836, Products_Catalog!$A$2:$A$151, 0))</f>
        <v/>
      </c>
      <c r="P836" s="13">
        <f>INDEX(Products_Catalog!$D$2:$D$151, MATCH(C836, Products_Catalog!$A$2:$A$151, 0))</f>
        <v/>
      </c>
      <c r="Q836" s="13">
        <f>I836-J836</f>
        <v/>
      </c>
      <c r="R836" s="15">
        <f>IF(K836&gt;20, "BREACH", "OK")</f>
        <v/>
      </c>
    </row>
    <row r="837">
      <c r="A837" t="inlineStr">
        <is>
          <t>ORD01992</t>
        </is>
      </c>
      <c r="B837" t="inlineStr">
        <is>
          <t>CUST0026</t>
        </is>
      </c>
      <c r="C837" t="inlineStr">
        <is>
          <t>PROD087</t>
        </is>
      </c>
      <c r="D837" t="inlineStr">
        <is>
          <t>STORE024</t>
        </is>
      </c>
      <c r="E837" t="inlineStr">
        <is>
          <t>DP015</t>
        </is>
      </c>
      <c r="F837" t="inlineStr">
        <is>
          <t>2024-12-18 19:18:00</t>
        </is>
      </c>
      <c r="G837" t="inlineStr">
        <is>
          <t>2024-12-18 19:42:00</t>
        </is>
      </c>
      <c r="H837" s="14" t="n">
        <v>1</v>
      </c>
      <c r="I837" s="13" t="n">
        <v>112.77</v>
      </c>
      <c r="J837" s="13" t="n">
        <v>23.22</v>
      </c>
      <c r="K837" s="16" t="n">
        <v>24</v>
      </c>
      <c r="L837" t="inlineStr">
        <is>
          <t>Pending</t>
        </is>
      </c>
      <c r="M837" t="inlineStr">
        <is>
          <t>PAY01</t>
        </is>
      </c>
      <c r="N837" t="inlineStr">
        <is>
          <t>Evening</t>
        </is>
      </c>
      <c r="O837">
        <f>INDEX(Products_Catalog!$B$2:$B$151, MATCH(C837, Products_Catalog!$A$2:$A$151, 0))</f>
        <v/>
      </c>
      <c r="P837" s="13">
        <f>INDEX(Products_Catalog!$D$2:$D$151, MATCH(C837, Products_Catalog!$A$2:$A$151, 0))</f>
        <v/>
      </c>
      <c r="Q837" s="13">
        <f>I837-J837</f>
        <v/>
      </c>
      <c r="R837" s="15">
        <f>IF(K837&gt;20, "BREACH", "OK")</f>
        <v/>
      </c>
    </row>
    <row r="838">
      <c r="A838" t="inlineStr">
        <is>
          <t>ORD01996</t>
        </is>
      </c>
      <c r="B838" t="inlineStr">
        <is>
          <t>CUST0014</t>
        </is>
      </c>
      <c r="C838" t="inlineStr">
        <is>
          <t>PROD127</t>
        </is>
      </c>
      <c r="D838" t="inlineStr">
        <is>
          <t>STORE034</t>
        </is>
      </c>
      <c r="E838" t="inlineStr">
        <is>
          <t>DP017</t>
        </is>
      </c>
      <c r="F838" t="inlineStr">
        <is>
          <t>2025-02-09 16:15:00</t>
        </is>
      </c>
      <c r="G838" t="inlineStr">
        <is>
          <t>2025-02-09 16:30:00</t>
        </is>
      </c>
      <c r="H838" s="14" t="n">
        <v>5</v>
      </c>
      <c r="I838" s="13" t="n">
        <v>2430.1</v>
      </c>
      <c r="J838" s="13" t="n">
        <v>167.52</v>
      </c>
      <c r="K838" s="16" t="n">
        <v>15</v>
      </c>
      <c r="L838" t="inlineStr">
        <is>
          <t>Cancelled</t>
        </is>
      </c>
      <c r="M838" t="inlineStr">
        <is>
          <t>PAY02</t>
        </is>
      </c>
      <c r="N838" t="inlineStr">
        <is>
          <t>Afternoon</t>
        </is>
      </c>
      <c r="O838">
        <f>INDEX(Products_Catalog!$B$2:$B$151, MATCH(C838, Products_Catalog!$A$2:$A$151, 0))</f>
        <v/>
      </c>
      <c r="P838" s="13">
        <f>INDEX(Products_Catalog!$D$2:$D$151, MATCH(C838, Products_Catalog!$A$2:$A$151, 0))</f>
        <v/>
      </c>
      <c r="Q838" s="13">
        <f>I838-J838</f>
        <v/>
      </c>
      <c r="R838" s="15">
        <f>IF(K838&gt;20, "BREACH", "OK")</f>
        <v/>
      </c>
    </row>
    <row r="839">
      <c r="A839" t="inlineStr">
        <is>
          <t>ORD01997</t>
        </is>
      </c>
      <c r="B839" t="inlineStr">
        <is>
          <t>CUST0014</t>
        </is>
      </c>
      <c r="C839" t="inlineStr">
        <is>
          <t>PROD127</t>
        </is>
      </c>
      <c r="D839" t="inlineStr">
        <is>
          <t>STORE034</t>
        </is>
      </c>
      <c r="E839" t="inlineStr">
        <is>
          <t>DP017</t>
        </is>
      </c>
      <c r="F839" t="inlineStr">
        <is>
          <t>2025-02-09 16:11:00</t>
        </is>
      </c>
      <c r="G839" t="inlineStr">
        <is>
          <t>2025-02-09 16:30:00</t>
        </is>
      </c>
      <c r="H839" s="14" t="n">
        <v>5</v>
      </c>
      <c r="I839" s="13" t="n">
        <v>2430.1</v>
      </c>
      <c r="J839" s="13" t="n">
        <v>167.52</v>
      </c>
      <c r="K839" s="16" t="n">
        <v>19</v>
      </c>
      <c r="L839" t="inlineStr">
        <is>
          <t>Cancelled</t>
        </is>
      </c>
      <c r="M839" t="inlineStr">
        <is>
          <t>PAY02</t>
        </is>
      </c>
      <c r="N839" t="inlineStr">
        <is>
          <t>Afternoon</t>
        </is>
      </c>
      <c r="O839">
        <f>INDEX(Products_Catalog!$B$2:$B$151, MATCH(C839, Products_Catalog!$A$2:$A$151, 0))</f>
        <v/>
      </c>
      <c r="P839" s="13">
        <f>INDEX(Products_Catalog!$D$2:$D$151, MATCH(C839, Products_Catalog!$A$2:$A$151, 0))</f>
        <v/>
      </c>
      <c r="Q839" s="13">
        <f>I839-J839</f>
        <v/>
      </c>
      <c r="R839" s="15">
        <f>IF(K839&gt;20, "BREACH", "OK")</f>
        <v/>
      </c>
    </row>
    <row r="840">
      <c r="A840" t="inlineStr">
        <is>
          <t>ORD01998</t>
        </is>
      </c>
      <c r="B840" t="inlineStr">
        <is>
          <t>CUST0043</t>
        </is>
      </c>
      <c r="C840" t="inlineStr">
        <is>
          <t>PROD022</t>
        </is>
      </c>
      <c r="D840" t="inlineStr">
        <is>
          <t>STORE045</t>
        </is>
      </c>
      <c r="E840" t="inlineStr">
        <is>
          <t>DP035</t>
        </is>
      </c>
      <c r="F840" t="inlineStr">
        <is>
          <t>2024-11-17 19:50:00</t>
        </is>
      </c>
      <c r="G840" t="inlineStr">
        <is>
          <t>2024-11-17 20:10:00</t>
        </is>
      </c>
      <c r="H840" s="14" t="n">
        <v>7</v>
      </c>
      <c r="I840" s="13" t="n">
        <v>3028.62</v>
      </c>
      <c r="J840" s="13" t="n">
        <v>766.4</v>
      </c>
      <c r="K840" s="16" t="n">
        <v>20</v>
      </c>
      <c r="L840" t="inlineStr">
        <is>
          <t>Returned</t>
        </is>
      </c>
      <c r="M840" t="inlineStr">
        <is>
          <t>PAY05</t>
        </is>
      </c>
      <c r="N840" t="inlineStr">
        <is>
          <t>Evening</t>
        </is>
      </c>
      <c r="O840">
        <f>INDEX(Products_Catalog!$B$2:$B$151, MATCH(C840, Products_Catalog!$A$2:$A$151, 0))</f>
        <v/>
      </c>
      <c r="P840" s="13">
        <f>INDEX(Products_Catalog!$D$2:$D$151, MATCH(C840, Products_Catalog!$A$2:$A$151, 0))</f>
        <v/>
      </c>
      <c r="Q840" s="13">
        <f>I840-J840</f>
        <v/>
      </c>
      <c r="R840" s="15">
        <f>IF(K840&gt;20, "BREACH", "OK")</f>
        <v/>
      </c>
    </row>
    <row r="841">
      <c r="A841" t="inlineStr">
        <is>
          <t>ORD01999</t>
        </is>
      </c>
      <c r="B841" t="inlineStr">
        <is>
          <t>CUST0020</t>
        </is>
      </c>
      <c r="C841" t="inlineStr">
        <is>
          <t>PROD049</t>
        </is>
      </c>
      <c r="D841" t="inlineStr">
        <is>
          <t>STORE048</t>
        </is>
      </c>
      <c r="E841" t="inlineStr">
        <is>
          <t>DP037</t>
        </is>
      </c>
      <c r="F841" t="inlineStr">
        <is>
          <t>2024-06-13 16:14:00</t>
        </is>
      </c>
      <c r="G841" t="inlineStr">
        <is>
          <t>2024-06-13 16:35:00</t>
        </is>
      </c>
      <c r="H841" s="14" t="n">
        <v>4</v>
      </c>
      <c r="I841" s="13" t="n">
        <v>995.88</v>
      </c>
      <c r="J841" s="13" t="n">
        <v>65.03</v>
      </c>
      <c r="K841" s="16" t="n">
        <v>21</v>
      </c>
      <c r="L841" t="inlineStr">
        <is>
          <t>Cancelled</t>
        </is>
      </c>
      <c r="M841" t="inlineStr">
        <is>
          <t>PAY04</t>
        </is>
      </c>
      <c r="N841" t="inlineStr">
        <is>
          <t>Afternoon</t>
        </is>
      </c>
      <c r="O841">
        <f>INDEX(Products_Catalog!$B$2:$B$151, MATCH(C841, Products_Catalog!$A$2:$A$151, 0))</f>
        <v/>
      </c>
      <c r="P841" s="13">
        <f>INDEX(Products_Catalog!$D$2:$D$151, MATCH(C841, Products_Catalog!$A$2:$A$151, 0))</f>
        <v/>
      </c>
      <c r="Q841" s="13">
        <f>I841-J841</f>
        <v/>
      </c>
      <c r="R841" s="15">
        <f>IF(K841&gt;20, "BREACH", "OK")</f>
        <v/>
      </c>
    </row>
    <row r="842">
      <c r="A842" t="inlineStr">
        <is>
          <t>ORD02000</t>
        </is>
      </c>
      <c r="B842" t="inlineStr">
        <is>
          <t>CUST0040</t>
        </is>
      </c>
      <c r="C842" t="inlineStr">
        <is>
          <t>PROD047</t>
        </is>
      </c>
      <c r="D842" t="inlineStr">
        <is>
          <t>STORE049</t>
        </is>
      </c>
      <c r="E842" t="inlineStr">
        <is>
          <t>DP030</t>
        </is>
      </c>
      <c r="F842" t="inlineStr">
        <is>
          <t>2024-08-07 14:25:00</t>
        </is>
      </c>
      <c r="G842" t="inlineStr">
        <is>
          <t>2024-08-07 14:47:00</t>
        </is>
      </c>
      <c r="H842" s="14" t="n">
        <v>7</v>
      </c>
      <c r="I842" s="13" t="n">
        <v>2426.9</v>
      </c>
      <c r="J842" s="13" t="n">
        <v>308.52</v>
      </c>
      <c r="K842" s="16" t="n">
        <v>22</v>
      </c>
      <c r="L842" t="inlineStr">
        <is>
          <t>Pending</t>
        </is>
      </c>
      <c r="M842" t="inlineStr">
        <is>
          <t>PAY02</t>
        </is>
      </c>
      <c r="N842" t="inlineStr">
        <is>
          <t>Afternoon</t>
        </is>
      </c>
      <c r="O842">
        <f>INDEX(Products_Catalog!$B$2:$B$151, MATCH(C842, Products_Catalog!$A$2:$A$151, 0))</f>
        <v/>
      </c>
      <c r="P842" s="13">
        <f>INDEX(Products_Catalog!$D$2:$D$151, MATCH(C842, Products_Catalog!$A$2:$A$151, 0))</f>
        <v/>
      </c>
      <c r="Q842" s="13">
        <f>I842-J842</f>
        <v/>
      </c>
      <c r="R842" s="15">
        <f>IF(K842&gt;20, "BREACH", "OK")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38" customWidth="1" min="4" max="4"/>
    <col width="17" customWidth="1" min="5" max="5"/>
    <col width="19" customWidth="1" min="6" max="6"/>
    <col width="30" customWidth="1" min="7" max="7"/>
  </cols>
  <sheetData>
    <row r="1">
      <c r="A1" s="17" t="inlineStr">
        <is>
          <t>CategoryID</t>
        </is>
      </c>
      <c r="B1" s="17" t="inlineStr">
        <is>
          <t>CategoryName</t>
        </is>
      </c>
      <c r="C1" s="17" t="inlineStr">
        <is>
          <t>Subcategory</t>
        </is>
      </c>
      <c r="D1" s="17" t="inlineStr">
        <is>
          <t>ProductCount</t>
        </is>
      </c>
      <c r="E1" s="17" t="inlineStr">
        <is>
          <t>TotalUnitsSold</t>
        </is>
      </c>
      <c r="F1" s="17" t="inlineStr">
        <is>
          <t>GrossRevenue</t>
        </is>
      </c>
      <c r="G1" s="17" t="inlineStr">
        <is>
          <t>ShareOfRevenue</t>
        </is>
      </c>
    </row>
    <row r="2">
      <c r="A2" t="inlineStr">
        <is>
          <t>CAT001</t>
        </is>
      </c>
      <c r="B2" t="inlineStr">
        <is>
          <t>Fruits &amp; Vegetables</t>
        </is>
      </c>
      <c r="C2" t="inlineStr">
        <is>
          <t>Fresh Fruits</t>
        </is>
      </c>
      <c r="D2" s="14">
        <f>COUNTIF(Products_Catalog!C:C, A2)</f>
        <v/>
      </c>
      <c r="E2" s="14">
        <f>SUMIF(Products_Catalog!C:C, A2, Products_Catalog!H:H)</f>
        <v/>
      </c>
      <c r="F2" s="13">
        <f>SUMIF(Products_Catalog!C:C, A2, Products_Catalog!I:I)</f>
        <v/>
      </c>
      <c r="G2" s="18">
        <f>F2/Executive_Summary!$H$6</f>
        <v/>
      </c>
    </row>
    <row r="3">
      <c r="A3" t="inlineStr">
        <is>
          <t>CAT002</t>
        </is>
      </c>
      <c r="B3" t="inlineStr">
        <is>
          <t>Fruits &amp; Vegetables</t>
        </is>
      </c>
      <c r="C3" t="inlineStr">
        <is>
          <t>Fresh Vegetables</t>
        </is>
      </c>
      <c r="D3" s="14">
        <f>COUNTIF(Products_Catalog!C:C, A3)</f>
        <v/>
      </c>
      <c r="E3" s="14">
        <f>SUMIF(Products_Catalog!C:C, A3, Products_Catalog!H:H)</f>
        <v/>
      </c>
      <c r="F3" s="13">
        <f>SUMIF(Products_Catalog!C:C, A3, Products_Catalog!I:I)</f>
        <v/>
      </c>
      <c r="G3" s="18">
        <f>F3/Executive_Summary!$H$6</f>
        <v/>
      </c>
    </row>
    <row r="4">
      <c r="A4" t="inlineStr">
        <is>
          <t>CAT003</t>
        </is>
      </c>
      <c r="B4" t="inlineStr">
        <is>
          <t>Dairy &amp; Bread</t>
        </is>
      </c>
      <c r="C4" t="inlineStr">
        <is>
          <t>Milk &amp; Curd</t>
        </is>
      </c>
      <c r="D4" s="14">
        <f>COUNTIF(Products_Catalog!C:C, A4)</f>
        <v/>
      </c>
      <c r="E4" s="14">
        <f>SUMIF(Products_Catalog!C:C, A4, Products_Catalog!H:H)</f>
        <v/>
      </c>
      <c r="F4" s="13">
        <f>SUMIF(Products_Catalog!C:C, A4, Products_Catalog!I:I)</f>
        <v/>
      </c>
      <c r="G4" s="18">
        <f>F4/Executive_Summary!$H$6</f>
        <v/>
      </c>
    </row>
    <row r="5">
      <c r="A5" t="inlineStr">
        <is>
          <t>CAT004</t>
        </is>
      </c>
      <c r="B5" t="inlineStr">
        <is>
          <t>Dairy &amp; Bread</t>
        </is>
      </c>
      <c r="C5" t="inlineStr">
        <is>
          <t>Cheese &amp; Butter</t>
        </is>
      </c>
      <c r="D5" s="14">
        <f>COUNTIF(Products_Catalog!C:C, A5)</f>
        <v/>
      </c>
      <c r="E5" s="14">
        <f>SUMIF(Products_Catalog!C:C, A5, Products_Catalog!H:H)</f>
        <v/>
      </c>
      <c r="F5" s="13">
        <f>SUMIF(Products_Catalog!C:C, A5, Products_Catalog!I:I)</f>
        <v/>
      </c>
      <c r="G5" s="18">
        <f>F5/Executive_Summary!$H$6</f>
        <v/>
      </c>
    </row>
    <row r="6">
      <c r="A6" t="inlineStr">
        <is>
          <t>CAT005</t>
        </is>
      </c>
      <c r="B6" t="inlineStr">
        <is>
          <t>Dairy &amp; Bread</t>
        </is>
      </c>
      <c r="C6" t="inlineStr">
        <is>
          <t>Bread &amp; Buns</t>
        </is>
      </c>
      <c r="D6" s="14">
        <f>COUNTIF(Products_Catalog!C:C, A6)</f>
        <v/>
      </c>
      <c r="E6" s="14">
        <f>SUMIF(Products_Catalog!C:C, A6, Products_Catalog!H:H)</f>
        <v/>
      </c>
      <c r="F6" s="13">
        <f>SUMIF(Products_Catalog!C:C, A6, Products_Catalog!I:I)</f>
        <v/>
      </c>
      <c r="G6" s="18">
        <f>F6/Executive_Summary!$H$6</f>
        <v/>
      </c>
    </row>
    <row r="7">
      <c r="A7" t="inlineStr">
        <is>
          <t>CAT006</t>
        </is>
      </c>
      <c r="B7" t="inlineStr">
        <is>
          <t>Snacks &amp; Beverages</t>
        </is>
      </c>
      <c r="C7" t="inlineStr">
        <is>
          <t>Chips &amp; Crisps</t>
        </is>
      </c>
      <c r="D7" s="14">
        <f>COUNTIF(Products_Catalog!C:C, A7)</f>
        <v/>
      </c>
      <c r="E7" s="14">
        <f>SUMIF(Products_Catalog!C:C, A7, Products_Catalog!H:H)</f>
        <v/>
      </c>
      <c r="F7" s="13">
        <f>SUMIF(Products_Catalog!C:C, A7, Products_Catalog!I:I)</f>
        <v/>
      </c>
      <c r="G7" s="18">
        <f>F7/Executive_Summary!$H$6</f>
        <v/>
      </c>
    </row>
    <row r="8">
      <c r="A8" t="inlineStr">
        <is>
          <t>CAT007</t>
        </is>
      </c>
      <c r="B8" t="inlineStr">
        <is>
          <t>Snacks &amp; Beverages</t>
        </is>
      </c>
      <c r="C8" t="inlineStr">
        <is>
          <t>Cold Drinks</t>
        </is>
      </c>
      <c r="D8" s="14">
        <f>COUNTIF(Products_Catalog!C:C, A8)</f>
        <v/>
      </c>
      <c r="E8" s="14">
        <f>SUMIF(Products_Catalog!C:C, A8, Products_Catalog!H:H)</f>
        <v/>
      </c>
      <c r="F8" s="13">
        <f>SUMIF(Products_Catalog!C:C, A8, Products_Catalog!I:I)</f>
        <v/>
      </c>
      <c r="G8" s="18">
        <f>F8/Executive_Summary!$H$6</f>
        <v/>
      </c>
    </row>
    <row r="9">
      <c r="A9" t="inlineStr">
        <is>
          <t>CAT008</t>
        </is>
      </c>
      <c r="B9" t="inlineStr">
        <is>
          <t>Snacks &amp; Beverages</t>
        </is>
      </c>
      <c r="C9" t="inlineStr">
        <is>
          <t>Tea &amp; Coffee</t>
        </is>
      </c>
      <c r="D9" s="14">
        <f>COUNTIF(Products_Catalog!C:C, A9)</f>
        <v/>
      </c>
      <c r="E9" s="14">
        <f>SUMIF(Products_Catalog!C:C, A9, Products_Catalog!H:H)</f>
        <v/>
      </c>
      <c r="F9" s="13">
        <f>SUMIF(Products_Catalog!C:C, A9, Products_Catalog!I:I)</f>
        <v/>
      </c>
      <c r="G9" s="18">
        <f>F9/Executive_Summary!$H$6</f>
        <v/>
      </c>
    </row>
    <row r="10">
      <c r="A10" t="inlineStr">
        <is>
          <t>CAT009</t>
        </is>
      </c>
      <c r="B10" t="inlineStr">
        <is>
          <t>Staples</t>
        </is>
      </c>
      <c r="C10" t="inlineStr">
        <is>
          <t>Atta &amp; Flours</t>
        </is>
      </c>
      <c r="D10" s="14">
        <f>COUNTIF(Products_Catalog!C:C, A10)</f>
        <v/>
      </c>
      <c r="E10" s="14">
        <f>SUMIF(Products_Catalog!C:C, A10, Products_Catalog!H:H)</f>
        <v/>
      </c>
      <c r="F10" s="13">
        <f>SUMIF(Products_Catalog!C:C, A10, Products_Catalog!I:I)</f>
        <v/>
      </c>
      <c r="G10" s="18">
        <f>F10/Executive_Summary!$H$6</f>
        <v/>
      </c>
    </row>
    <row r="11">
      <c r="A11" t="inlineStr">
        <is>
          <t>CAT010</t>
        </is>
      </c>
      <c r="B11" t="inlineStr">
        <is>
          <t>Staples</t>
        </is>
      </c>
      <c r="C11" t="inlineStr">
        <is>
          <t>Rice &amp; Grains</t>
        </is>
      </c>
      <c r="D11" s="14">
        <f>COUNTIF(Products_Catalog!C:C, A11)</f>
        <v/>
      </c>
      <c r="E11" s="14">
        <f>SUMIF(Products_Catalog!C:C, A11, Products_Catalog!H:H)</f>
        <v/>
      </c>
      <c r="F11" s="13">
        <f>SUMIF(Products_Catalog!C:C, A11, Products_Catalog!I:I)</f>
        <v/>
      </c>
      <c r="G11" s="18">
        <f>F11/Executive_Summary!$H$6</f>
        <v/>
      </c>
    </row>
    <row r="12">
      <c r="A12" t="inlineStr">
        <is>
          <t>CAT011</t>
        </is>
      </c>
      <c r="B12" t="inlineStr">
        <is>
          <t>Staples</t>
        </is>
      </c>
      <c r="C12" t="inlineStr">
        <is>
          <t>Dals &amp; Pulses</t>
        </is>
      </c>
      <c r="D12" s="14">
        <f>COUNTIF(Products_Catalog!C:C, A12)</f>
        <v/>
      </c>
      <c r="E12" s="14">
        <f>SUMIF(Products_Catalog!C:C, A12, Products_Catalog!H:H)</f>
        <v/>
      </c>
      <c r="F12" s="13">
        <f>SUMIF(Products_Catalog!C:C, A12, Products_Catalog!I:I)</f>
        <v/>
      </c>
      <c r="G12" s="18">
        <f>F12/Executive_Summary!$H$6</f>
        <v/>
      </c>
    </row>
    <row r="13">
      <c r="A13" t="inlineStr">
        <is>
          <t>CAT012</t>
        </is>
      </c>
      <c r="B13" t="inlineStr">
        <is>
          <t>Staples</t>
        </is>
      </c>
      <c r="C13" t="inlineStr">
        <is>
          <t>Oils &amp; Ghee</t>
        </is>
      </c>
      <c r="D13" s="14">
        <f>COUNTIF(Products_Catalog!C:C, A13)</f>
        <v/>
      </c>
      <c r="E13" s="14">
        <f>SUMIF(Products_Catalog!C:C, A13, Products_Catalog!H:H)</f>
        <v/>
      </c>
      <c r="F13" s="13">
        <f>SUMIF(Products_Catalog!C:C, A13, Products_Catalog!I:I)</f>
        <v/>
      </c>
      <c r="G13" s="18">
        <f>F13/Executive_Summary!$H$6</f>
        <v/>
      </c>
    </row>
    <row r="14">
      <c r="A14" t="inlineStr">
        <is>
          <t>CAT013</t>
        </is>
      </c>
      <c r="B14" t="inlineStr">
        <is>
          <t>Personal Care</t>
        </is>
      </c>
      <c r="C14" t="inlineStr">
        <is>
          <t>Soaps &amp; Bodywash</t>
        </is>
      </c>
      <c r="D14" s="14">
        <f>COUNTIF(Products_Catalog!C:C, A14)</f>
        <v/>
      </c>
      <c r="E14" s="14">
        <f>SUMIF(Products_Catalog!C:C, A14, Products_Catalog!H:H)</f>
        <v/>
      </c>
      <c r="F14" s="13">
        <f>SUMIF(Products_Catalog!C:C, A14, Products_Catalog!I:I)</f>
        <v/>
      </c>
      <c r="G14" s="18">
        <f>F14/Executive_Summary!$H$6</f>
        <v/>
      </c>
    </row>
    <row r="15">
      <c r="A15" t="inlineStr">
        <is>
          <t>CAT014</t>
        </is>
      </c>
      <c r="B15" t="inlineStr">
        <is>
          <t>Personal Care</t>
        </is>
      </c>
      <c r="C15" t="inlineStr">
        <is>
          <t>Shampoo &amp; Conditioner</t>
        </is>
      </c>
      <c r="D15" s="14">
        <f>COUNTIF(Products_Catalog!C:C, A15)</f>
        <v/>
      </c>
      <c r="E15" s="14">
        <f>SUMIF(Products_Catalog!C:C, A15, Products_Catalog!H:H)</f>
        <v/>
      </c>
      <c r="F15" s="13">
        <f>SUMIF(Products_Catalog!C:C, A15, Products_Catalog!I:I)</f>
        <v/>
      </c>
      <c r="G15" s="18">
        <f>F15/Executive_Summary!$H$6</f>
        <v/>
      </c>
    </row>
    <row r="16">
      <c r="A16" t="inlineStr">
        <is>
          <t>CAT015</t>
        </is>
      </c>
      <c r="B16" t="inlineStr">
        <is>
          <t>Personal Care</t>
        </is>
      </c>
      <c r="C16" t="inlineStr">
        <is>
          <t>Dental Care</t>
        </is>
      </c>
      <c r="D16" s="14">
        <f>COUNTIF(Products_Catalog!C:C, A16)</f>
        <v/>
      </c>
      <c r="E16" s="14">
        <f>SUMIF(Products_Catalog!C:C, A16, Products_Catalog!H:H)</f>
        <v/>
      </c>
      <c r="F16" s="13">
        <f>SUMIF(Products_Catalog!C:C, A16, Products_Catalog!I:I)</f>
        <v/>
      </c>
      <c r="G16" s="18">
        <f>F16/Executive_Summary!$H$6</f>
        <v/>
      </c>
    </row>
    <row r="17">
      <c r="A17" t="inlineStr">
        <is>
          <t>CAT016</t>
        </is>
      </c>
      <c r="B17" t="inlineStr">
        <is>
          <t>Cleaning Essentials</t>
        </is>
      </c>
      <c r="C17" t="inlineStr">
        <is>
          <t>Detergents</t>
        </is>
      </c>
      <c r="D17" s="14">
        <f>COUNTIF(Products_Catalog!C:C, A17)</f>
        <v/>
      </c>
      <c r="E17" s="14">
        <f>SUMIF(Products_Catalog!C:C, A17, Products_Catalog!H:H)</f>
        <v/>
      </c>
      <c r="F17" s="13">
        <f>SUMIF(Products_Catalog!C:C, A17, Products_Catalog!I:I)</f>
        <v/>
      </c>
      <c r="G17" s="18">
        <f>F17/Executive_Summary!$H$6</f>
        <v/>
      </c>
    </row>
    <row r="18">
      <c r="A18" t="inlineStr">
        <is>
          <t>CAT017</t>
        </is>
      </c>
      <c r="B18" t="inlineStr">
        <is>
          <t>Cleaning Essentials</t>
        </is>
      </c>
      <c r="C18" t="inlineStr">
        <is>
          <t>Dishwash</t>
        </is>
      </c>
      <c r="D18" s="14">
        <f>COUNTIF(Products_Catalog!C:C, A18)</f>
        <v/>
      </c>
      <c r="E18" s="14">
        <f>SUMIF(Products_Catalog!C:C, A18, Products_Catalog!H:H)</f>
        <v/>
      </c>
      <c r="F18" s="13">
        <f>SUMIF(Products_Catalog!C:C, A18, Products_Catalog!I:I)</f>
        <v/>
      </c>
      <c r="G18" s="18">
        <f>F18/Executive_Summary!$H$6</f>
        <v/>
      </c>
    </row>
    <row r="19">
      <c r="A19" t="inlineStr">
        <is>
          <t>CAT018</t>
        </is>
      </c>
      <c r="B19" t="inlineStr">
        <is>
          <t>Cleaning Essentials</t>
        </is>
      </c>
      <c r="C19" t="inlineStr">
        <is>
          <t>Floor Cleaners</t>
        </is>
      </c>
      <c r="D19" s="14">
        <f>COUNTIF(Products_Catalog!C:C, A19)</f>
        <v/>
      </c>
      <c r="E19" s="14">
        <f>SUMIF(Products_Catalog!C:C, A19, Products_Catalog!H:H)</f>
        <v/>
      </c>
      <c r="F19" s="13">
        <f>SUMIF(Products_Catalog!C:C, A19, Products_Catalog!I:I)</f>
        <v/>
      </c>
      <c r="G19" s="18">
        <f>F19/Executive_Summary!$H$6</f>
        <v/>
      </c>
    </row>
    <row r="20">
      <c r="A20" t="inlineStr">
        <is>
          <t>CAT019</t>
        </is>
      </c>
      <c r="B20" t="inlineStr">
        <is>
          <t>Instant &amp; Frozen Food</t>
        </is>
      </c>
      <c r="C20" t="inlineStr">
        <is>
          <t>Noodles &amp; Pasta</t>
        </is>
      </c>
      <c r="D20" s="14">
        <f>COUNTIF(Products_Catalog!C:C, A20)</f>
        <v/>
      </c>
      <c r="E20" s="14">
        <f>SUMIF(Products_Catalog!C:C, A20, Products_Catalog!H:H)</f>
        <v/>
      </c>
      <c r="F20" s="13">
        <f>SUMIF(Products_Catalog!C:C, A20, Products_Catalog!I:I)</f>
        <v/>
      </c>
      <c r="G20" s="18">
        <f>F20/Executive_Summary!$H$6</f>
        <v/>
      </c>
    </row>
    <row r="21">
      <c r="A21" t="inlineStr">
        <is>
          <t>CAT020</t>
        </is>
      </c>
      <c r="B21" t="inlineStr">
        <is>
          <t>Instant &amp; Frozen Food</t>
        </is>
      </c>
      <c r="C21" t="inlineStr">
        <is>
          <t>Frozen Snacks</t>
        </is>
      </c>
      <c r="D21" s="14">
        <f>COUNTIF(Products_Catalog!C:C, A21)</f>
        <v/>
      </c>
      <c r="E21" s="14">
        <f>SUMIF(Products_Catalog!C:C, A21, Products_Catalog!H:H)</f>
        <v/>
      </c>
      <c r="F21" s="13">
        <f>SUMIF(Products_Catalog!C:C, A21, Products_Catalog!I:I)</f>
        <v/>
      </c>
      <c r="G21" s="18">
        <f>F21/Executive_Summary!$H$6</f>
        <v/>
      </c>
    </row>
    <row r="22">
      <c r="A22" t="inlineStr">
        <is>
          <t>CAT021</t>
        </is>
      </c>
      <c r="B22" t="inlineStr">
        <is>
          <t>Baby Care</t>
        </is>
      </c>
      <c r="C22" t="inlineStr">
        <is>
          <t>Diapers &amp; Wipes</t>
        </is>
      </c>
      <c r="D22" s="14">
        <f>COUNTIF(Products_Catalog!C:C, A22)</f>
        <v/>
      </c>
      <c r="E22" s="14">
        <f>SUMIF(Products_Catalog!C:C, A22, Products_Catalog!H:H)</f>
        <v/>
      </c>
      <c r="F22" s="13">
        <f>SUMIF(Products_Catalog!C:C, A22, Products_Catalog!I:I)</f>
        <v/>
      </c>
      <c r="G22" s="18">
        <f>F22/Executive_Summary!$H$6</f>
        <v/>
      </c>
    </row>
    <row r="23">
      <c r="A23" t="inlineStr">
        <is>
          <t>CAT022</t>
        </is>
      </c>
      <c r="B23" t="inlineStr">
        <is>
          <t>Pet Care</t>
        </is>
      </c>
      <c r="C23" t="inlineStr">
        <is>
          <t>Dog Food</t>
        </is>
      </c>
      <c r="D23" s="14">
        <f>COUNTIF(Products_Catalog!C:C, A23)</f>
        <v/>
      </c>
      <c r="E23" s="14">
        <f>SUMIF(Products_Catalog!C:C, A23, Products_Catalog!H:H)</f>
        <v/>
      </c>
      <c r="F23" s="13">
        <f>SUMIF(Products_Catalog!C:C, A23, Products_Catalog!I:I)</f>
        <v/>
      </c>
      <c r="G23" s="18">
        <f>F23/Executive_Summary!$H$6</f>
        <v/>
      </c>
    </row>
    <row r="24">
      <c r="A24" t="inlineStr">
        <is>
          <t>CAT023</t>
        </is>
      </c>
      <c r="B24" t="inlineStr">
        <is>
          <t>Masalas &amp; Spices</t>
        </is>
      </c>
      <c r="C24" t="inlineStr">
        <is>
          <t>Powdered Spices</t>
        </is>
      </c>
      <c r="D24" s="14">
        <f>COUNTIF(Products_Catalog!C:C, A24)</f>
        <v/>
      </c>
      <c r="E24" s="14">
        <f>SUMIF(Products_Catalog!C:C, A24, Products_Catalog!H:H)</f>
        <v/>
      </c>
      <c r="F24" s="13">
        <f>SUMIF(Products_Catalog!C:C, A24, Products_Catalog!I:I)</f>
        <v/>
      </c>
      <c r="G24" s="18">
        <f>F24/Executive_Summary!$H$6</f>
        <v/>
      </c>
    </row>
    <row r="25">
      <c r="A25" t="inlineStr">
        <is>
          <t>CAT024</t>
        </is>
      </c>
      <c r="B25" t="inlineStr">
        <is>
          <t>Breakfast &amp; Cereals</t>
        </is>
      </c>
      <c r="C25" t="inlineStr">
        <is>
          <t>Cereals &amp; Oats</t>
        </is>
      </c>
      <c r="D25" s="14">
        <f>COUNTIF(Products_Catalog!C:C, A25)</f>
        <v/>
      </c>
      <c r="E25" s="14">
        <f>SUMIF(Products_Catalog!C:C, A25, Products_Catalog!H:H)</f>
        <v/>
      </c>
      <c r="F25" s="13">
        <f>SUMIF(Products_Catalog!C:C, A25, Products_Catalog!I:I)</f>
        <v/>
      </c>
      <c r="G25" s="18">
        <f>F25/Executive_Summary!$H$6</f>
        <v/>
      </c>
    </row>
    <row r="26">
      <c r="A26" t="inlineStr">
        <is>
          <t>CAT025</t>
        </is>
      </c>
      <c r="B26" t="inlineStr">
        <is>
          <t>Bakery &amp; Biscuits</t>
        </is>
      </c>
      <c r="C26" t="inlineStr">
        <is>
          <t>Cookies &amp; Biscuits</t>
        </is>
      </c>
      <c r="D26" s="14">
        <f>COUNTIF(Products_Catalog!C:C, A26)</f>
        <v/>
      </c>
      <c r="E26" s="14">
        <f>SUMIF(Products_Catalog!C:C, A26, Products_Catalog!H:H)</f>
        <v/>
      </c>
      <c r="F26" s="13">
        <f>SUMIF(Products_Catalog!C:C, A26, Products_Catalog!I:I)</f>
        <v/>
      </c>
      <c r="G26" s="18">
        <f>F26/Executive_Summary!$H$6</f>
        <v/>
      </c>
    </row>
    <row r="27">
      <c r="B27" s="10" t="inlineStr">
        <is>
          <t>TOTAL</t>
        </is>
      </c>
      <c r="D27" s="10">
        <f>SUM(D2:D26)</f>
        <v/>
      </c>
      <c r="E27" s="10">
        <f>SUM(E2:E26)</f>
        <v/>
      </c>
      <c r="F27" s="19">
        <f>SUM(F2:F26)</f>
        <v/>
      </c>
      <c r="G27" s="20">
        <f>SUM(G2:G26)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39" customWidth="1" min="3" max="3"/>
    <col width="21" customWidth="1" min="4" max="4"/>
  </cols>
  <sheetData>
    <row r="1">
      <c r="A1" s="9" t="inlineStr">
        <is>
          <t>ORDER STATUS ANALYSIS</t>
        </is>
      </c>
    </row>
    <row r="2">
      <c r="A2" s="17" t="inlineStr">
        <is>
          <t>OrderStatus</t>
        </is>
      </c>
      <c r="B2" s="17" t="inlineStr">
        <is>
          <t>OrderCount</t>
        </is>
      </c>
      <c r="C2" s="17" t="inlineStr">
        <is>
          <t>Percentage</t>
        </is>
      </c>
      <c r="D2" s="17" t="inlineStr">
        <is>
          <t>TotalRevenue</t>
        </is>
      </c>
    </row>
    <row r="3">
      <c r="A3" t="inlineStr">
        <is>
          <t>Delivered</t>
        </is>
      </c>
      <c r="B3" s="14">
        <f>COUNTIF(Orders_Enriched!L:L, "Delivered")</f>
        <v/>
      </c>
      <c r="C3" s="18">
        <f>B3/COUNTA(Orders_Enriched!A2:A844)</f>
        <v/>
      </c>
      <c r="D3" s="13">
        <f>SUMIF(Orders_Enriched!L:L, "Delivered", Orders_Enriched!I:I)</f>
        <v/>
      </c>
    </row>
    <row r="4">
      <c r="A4" t="inlineStr">
        <is>
          <t>Shipped</t>
        </is>
      </c>
      <c r="B4" s="14">
        <f>COUNTIF(Orders_Enriched!L:L, "Shipped")</f>
        <v/>
      </c>
      <c r="C4" s="18">
        <f>B4/COUNTA(Orders_Enriched!A2:A844)</f>
        <v/>
      </c>
      <c r="D4" s="13">
        <f>SUMIF(Orders_Enriched!L:L, "Shipped", Orders_Enriched!I:I)</f>
        <v/>
      </c>
    </row>
    <row r="5">
      <c r="A5" t="inlineStr">
        <is>
          <t>Pending</t>
        </is>
      </c>
      <c r="B5" s="14">
        <f>COUNTIF(Orders_Enriched!L:L, "Pending")</f>
        <v/>
      </c>
      <c r="C5" s="18">
        <f>B5/COUNTA(Orders_Enriched!A2:A844)</f>
        <v/>
      </c>
      <c r="D5" s="13">
        <f>SUMIF(Orders_Enriched!L:L, "Pending", Orders_Enriched!I:I)</f>
        <v/>
      </c>
    </row>
    <row r="6">
      <c r="A6" t="inlineStr">
        <is>
          <t>Cancelled</t>
        </is>
      </c>
      <c r="B6" s="14">
        <f>COUNTIF(Orders_Enriched!L:L, "Cancelled")</f>
        <v/>
      </c>
      <c r="C6" s="18">
        <f>B6/COUNTA(Orders_Enriched!A2:A844)</f>
        <v/>
      </c>
      <c r="D6" s="13">
        <f>SUMIF(Orders_Enriched!L:L, "Cancelled", Orders_Enriched!I:I)</f>
        <v/>
      </c>
    </row>
    <row r="7"/>
    <row r="8"/>
    <row r="9">
      <c r="A9" s="9" t="inlineStr">
        <is>
          <t>TIME OF DAY VELOCITY</t>
        </is>
      </c>
    </row>
    <row r="10">
      <c r="A10" s="17" t="inlineStr">
        <is>
          <t>TimeOfDay</t>
        </is>
      </c>
      <c r="B10" s="17" t="inlineStr">
        <is>
          <t>OrderCount</t>
        </is>
      </c>
      <c r="C10" s="17" t="inlineStr">
        <is>
          <t>Share</t>
        </is>
      </c>
      <c r="D10" s="17" t="inlineStr">
        <is>
          <t>AvgDeliveryMinutes</t>
        </is>
      </c>
    </row>
    <row r="11">
      <c r="A11" t="inlineStr">
        <is>
          <t>Morning</t>
        </is>
      </c>
      <c r="B11" s="14">
        <f>COUNTIF(Orders_Enriched!N:N, "Morning")</f>
        <v/>
      </c>
      <c r="C11" s="18">
        <f>B11/COUNTA(Orders_Enriched!A2:A844)</f>
        <v/>
      </c>
      <c r="D11" s="21">
        <f>AVERAGEIF(Orders_Enriched!N:N, "Morning", Orders_Enriched!K:K)</f>
        <v/>
      </c>
    </row>
    <row r="12">
      <c r="A12" t="inlineStr">
        <is>
          <t>Afternoon</t>
        </is>
      </c>
      <c r="B12" s="14">
        <f>COUNTIF(Orders_Enriched!N:N, "Afternoon")</f>
        <v/>
      </c>
      <c r="C12" s="18">
        <f>B12/COUNTA(Orders_Enriched!A2:A844)</f>
        <v/>
      </c>
      <c r="D12" s="21">
        <f>AVERAGEIF(Orders_Enriched!N:N, "Afternoon", Orders_Enriched!K:K)</f>
        <v/>
      </c>
    </row>
    <row r="13">
      <c r="A13" t="inlineStr">
        <is>
          <t>Evening</t>
        </is>
      </c>
      <c r="B13" s="14">
        <f>COUNTIF(Orders_Enriched!N:N, "Evening")</f>
        <v/>
      </c>
      <c r="C13" s="18">
        <f>B13/COUNTA(Orders_Enriched!A2:A844)</f>
        <v/>
      </c>
      <c r="D13" s="21">
        <f>AVERAGEIF(Orders_Enriched!N:N, "Evening", Orders_Enriched!K:K)</f>
        <v/>
      </c>
    </row>
    <row r="14">
      <c r="A14" t="inlineStr">
        <is>
          <t>Night</t>
        </is>
      </c>
      <c r="B14" s="14">
        <f>COUNTIF(Orders_Enriched!N:N, "Night")</f>
        <v/>
      </c>
      <c r="C14" s="18">
        <f>B14/COUNTA(Orders_Enriched!A2:A844)</f>
        <v/>
      </c>
      <c r="D14" s="21">
        <f>AVERAGEIF(Orders_Enriched!N:N, "Night", Orders_Enriched!K:K)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22" t="inlineStr">
        <is>
          <t>StoreID</t>
        </is>
      </c>
      <c r="B1" s="22" t="inlineStr">
        <is>
          <t>AddressID</t>
        </is>
      </c>
      <c r="C1" s="22" t="inlineStr">
        <is>
          <t>WarehouseCapacity</t>
        </is>
      </c>
    </row>
    <row r="2">
      <c r="A2" t="inlineStr">
        <is>
          <t>STORE001</t>
        </is>
      </c>
      <c r="B2" t="inlineStr">
        <is>
          <t>ADDR023</t>
        </is>
      </c>
      <c r="C2" s="14" t="n">
        <v>15000</v>
      </c>
    </row>
    <row r="3">
      <c r="A3" t="inlineStr">
        <is>
          <t>STORE002</t>
        </is>
      </c>
      <c r="B3" t="inlineStr">
        <is>
          <t>ADDR041</t>
        </is>
      </c>
      <c r="C3" s="14" t="n">
        <v>18000</v>
      </c>
    </row>
    <row r="4">
      <c r="A4" t="inlineStr">
        <is>
          <t>STORE003</t>
        </is>
      </c>
      <c r="B4" t="inlineStr">
        <is>
          <t>ADDR061</t>
        </is>
      </c>
      <c r="C4" s="14" t="n">
        <v>20000</v>
      </c>
    </row>
    <row r="5">
      <c r="A5" t="inlineStr">
        <is>
          <t>STORE004</t>
        </is>
      </c>
      <c r="B5" t="inlineStr">
        <is>
          <t>ADDR024</t>
        </is>
      </c>
      <c r="C5" s="14" t="n">
        <v>12000</v>
      </c>
    </row>
    <row r="6">
      <c r="A6" t="inlineStr">
        <is>
          <t>STORE005</t>
        </is>
      </c>
      <c r="B6" t="inlineStr">
        <is>
          <t>ADDR046</t>
        </is>
      </c>
      <c r="C6" s="14" t="n">
        <v>16000</v>
      </c>
    </row>
    <row r="7">
      <c r="A7" t="inlineStr">
        <is>
          <t>STORE006</t>
        </is>
      </c>
      <c r="B7" t="inlineStr">
        <is>
          <t>ADDR045</t>
        </is>
      </c>
      <c r="C7" s="14" t="n">
        <v>14000</v>
      </c>
    </row>
    <row r="8">
      <c r="A8" t="inlineStr">
        <is>
          <t>STORE007</t>
        </is>
      </c>
      <c r="B8" t="inlineStr">
        <is>
          <t>ADDR037</t>
        </is>
      </c>
      <c r="C8" s="14" t="n">
        <v>17000</v>
      </c>
    </row>
    <row r="9">
      <c r="A9" t="inlineStr">
        <is>
          <t>STORE008</t>
        </is>
      </c>
      <c r="B9" t="inlineStr">
        <is>
          <t>ADDR038</t>
        </is>
      </c>
      <c r="C9" s="14" t="n">
        <v>15000</v>
      </c>
    </row>
    <row r="10">
      <c r="A10" t="inlineStr">
        <is>
          <t>STORE009</t>
        </is>
      </c>
      <c r="B10" t="inlineStr">
        <is>
          <t>ADDR022</t>
        </is>
      </c>
      <c r="C10" s="14" t="n">
        <v>13000</v>
      </c>
    </row>
    <row r="11">
      <c r="A11" t="inlineStr">
        <is>
          <t>STORE010</t>
        </is>
      </c>
      <c r="B11" t="inlineStr">
        <is>
          <t>ADDR064</t>
        </is>
      </c>
      <c r="C11" s="14" t="n">
        <v>16000</v>
      </c>
    </row>
    <row r="12">
      <c r="A12" t="inlineStr">
        <is>
          <t>STORE011</t>
        </is>
      </c>
      <c r="B12" t="inlineStr">
        <is>
          <t>ADDR033</t>
        </is>
      </c>
      <c r="C12" s="14" t="n">
        <v>14000</v>
      </c>
    </row>
    <row r="13">
      <c r="A13" t="inlineStr">
        <is>
          <t>STORE012</t>
        </is>
      </c>
      <c r="B13" t="inlineStr">
        <is>
          <t>ADDR021</t>
        </is>
      </c>
      <c r="C13" s="14" t="n">
        <v>19000</v>
      </c>
    </row>
    <row r="14">
      <c r="A14" t="inlineStr">
        <is>
          <t>STORE013</t>
        </is>
      </c>
      <c r="B14" t="inlineStr">
        <is>
          <t>ADDR062</t>
        </is>
      </c>
      <c r="C14" s="14" t="n">
        <v>15000</v>
      </c>
    </row>
    <row r="15">
      <c r="A15" t="inlineStr">
        <is>
          <t>STORE014</t>
        </is>
      </c>
      <c r="B15" t="inlineStr">
        <is>
          <t>ADDR026</t>
        </is>
      </c>
      <c r="C15" s="14" t="n">
        <v>17000</v>
      </c>
    </row>
    <row r="16">
      <c r="A16" t="inlineStr">
        <is>
          <t>STORE015</t>
        </is>
      </c>
      <c r="B16" t="inlineStr">
        <is>
          <t>ADDR047</t>
        </is>
      </c>
      <c r="C16" s="14" t="n">
        <v>16000</v>
      </c>
    </row>
    <row r="17">
      <c r="A17" t="inlineStr">
        <is>
          <t>STORE016</t>
        </is>
      </c>
      <c r="B17" t="inlineStr">
        <is>
          <t>ADDR103</t>
        </is>
      </c>
      <c r="C17" s="14" t="n">
        <v>22000</v>
      </c>
    </row>
    <row r="18">
      <c r="A18" t="inlineStr">
        <is>
          <t>STORE017</t>
        </is>
      </c>
      <c r="B18" t="inlineStr">
        <is>
          <t>ADDR101</t>
        </is>
      </c>
      <c r="C18" s="14" t="n">
        <v>18000</v>
      </c>
    </row>
    <row r="19">
      <c r="A19" t="inlineStr">
        <is>
          <t>STORE018</t>
        </is>
      </c>
      <c r="B19" t="inlineStr">
        <is>
          <t>ADDR111</t>
        </is>
      </c>
      <c r="C19" s="14" t="n">
        <v>17000</v>
      </c>
    </row>
    <row r="20">
      <c r="A20" t="inlineStr">
        <is>
          <t>STORE019</t>
        </is>
      </c>
      <c r="B20" t="inlineStr">
        <is>
          <t>ADDR106</t>
        </is>
      </c>
      <c r="C20" s="14" t="n">
        <v>16000</v>
      </c>
    </row>
    <row r="21">
      <c r="A21" t="inlineStr">
        <is>
          <t>STORE020</t>
        </is>
      </c>
      <c r="B21" t="inlineStr">
        <is>
          <t>ADDR107</t>
        </is>
      </c>
      <c r="C21" s="14" t="n">
        <v>19000</v>
      </c>
    </row>
    <row r="22">
      <c r="A22" t="inlineStr">
        <is>
          <t>STORE021</t>
        </is>
      </c>
      <c r="B22" t="inlineStr">
        <is>
          <t>ADDR149</t>
        </is>
      </c>
      <c r="C22" s="14" t="n">
        <v>15000</v>
      </c>
    </row>
    <row r="23">
      <c r="A23" t="inlineStr">
        <is>
          <t>STORE022</t>
        </is>
      </c>
      <c r="B23" t="inlineStr">
        <is>
          <t>ADDR147</t>
        </is>
      </c>
      <c r="C23" s="14" t="n">
        <v>20000</v>
      </c>
    </row>
    <row r="24">
      <c r="A24" t="inlineStr">
        <is>
          <t>STORE023</t>
        </is>
      </c>
      <c r="B24" t="inlineStr">
        <is>
          <t>ADDR157</t>
        </is>
      </c>
      <c r="C24" s="14" t="n">
        <v>14000</v>
      </c>
    </row>
    <row r="25">
      <c r="A25" t="inlineStr">
        <is>
          <t>STORE024</t>
        </is>
      </c>
      <c r="B25" t="inlineStr">
        <is>
          <t>ADDR152</t>
        </is>
      </c>
      <c r="C25" s="14" t="n">
        <v>18000</v>
      </c>
    </row>
    <row r="26">
      <c r="A26" t="inlineStr">
        <is>
          <t>STORE025</t>
        </is>
      </c>
      <c r="B26" t="inlineStr">
        <is>
          <t>ADDR153</t>
        </is>
      </c>
      <c r="C26" s="14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2026-09-15T07:11:17Z</dcterms:created>
  <dcterms:modified xsi:type="dcterms:W3CDTF">2026-09-15T07:11:18Z</dcterms:modified>
</cp:coreProperties>
</file>